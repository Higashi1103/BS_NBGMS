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東皇\OneDrive\Documents\BrightStar\NBGMS\単体テスト\"/>
    </mc:Choice>
  </mc:AlternateContent>
  <xr:revisionPtr revIDLastSave="0" documentId="13_ncr:1_{24E34780-1B47-40EA-9236-65E1D295A5F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表紙" sheetId="476" r:id="rId1"/>
    <sheet name="単体テスト仕様書" sheetId="486" r:id="rId2"/>
    <sheet name="エビデンス" sheetId="488" r:id="rId3"/>
    <sheet name="DB" sheetId="489" r:id="rId4"/>
  </sheets>
  <externalReferences>
    <externalReference r:id="rId5"/>
  </externalReferences>
  <definedNames>
    <definedName name="_xlnm._FilterDatabase" localSheetId="1" hidden="1">単体テスト仕様書!$A$5:$DF$36</definedName>
    <definedName name="_xlnm.Print_Area" localSheetId="2">エビデンス!$A$1:$BA$118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86" l="1"/>
  <c r="P1" i="488"/>
  <c r="A1" i="488"/>
  <c r="P1" i="486"/>
</calcChain>
</file>

<file path=xl/sharedStrings.xml><?xml version="1.0" encoding="utf-8"?>
<sst xmlns="http://schemas.openxmlformats.org/spreadsheetml/2006/main" count="132" uniqueCount="94">
  <si>
    <t>▽</t>
  </si>
  <si>
    <t>－</t>
  </si>
  <si>
    <r>
      <rPr>
        <b/>
        <sz val="26"/>
        <rFont val="ＭＳ Ｐゴシック"/>
        <family val="2"/>
      </rPr>
      <t>Ver.1.</t>
    </r>
    <r>
      <rPr>
        <b/>
        <sz val="26"/>
        <rFont val="맑은 고딕"/>
        <family val="2"/>
      </rPr>
      <t>1</t>
    </r>
  </si>
  <si>
    <t>作成日</t>
  </si>
  <si>
    <t>作成者</t>
  </si>
  <si>
    <t>更新日</t>
  </si>
  <si>
    <t>更新者</t>
  </si>
  <si>
    <t>項目No.</t>
  </si>
  <si>
    <r>
      <rPr>
        <sz val="9"/>
        <rFont val="宋体"/>
        <charset val="134"/>
        <scheme val="major"/>
      </rPr>
      <t>テスト項目</t>
    </r>
    <r>
      <rPr>
        <sz val="9"/>
        <rFont val="宋体"/>
        <charset val="128"/>
        <scheme val="major"/>
      </rPr>
      <t>・内</t>
    </r>
    <r>
      <rPr>
        <sz val="9"/>
        <rFont val="宋体"/>
        <charset val="134"/>
        <scheme val="major"/>
      </rPr>
      <t>容</t>
    </r>
  </si>
  <si>
    <t>想定される結果</t>
  </si>
  <si>
    <t>結果</t>
  </si>
  <si>
    <r>
      <rPr>
        <sz val="9"/>
        <rFont val="宋体"/>
        <charset val="134"/>
        <scheme val="major"/>
      </rPr>
      <t>レビュ</t>
    </r>
    <r>
      <rPr>
        <sz val="9"/>
        <rFont val="宋体"/>
        <charset val="128"/>
        <scheme val="major"/>
      </rPr>
      <t>ー</t>
    </r>
  </si>
  <si>
    <t>備考</t>
  </si>
  <si>
    <t>日付</t>
  </si>
  <si>
    <t>初期表示</t>
  </si>
  <si>
    <t>テキスト</t>
  </si>
  <si>
    <t>初期値</t>
  </si>
  <si>
    <t>使用制御</t>
  </si>
  <si>
    <t>入力可能であること。</t>
  </si>
  <si>
    <t>項番</t>
  </si>
  <si>
    <t>エビデンス詳細（画面キャプチャ貼り付け）</t>
  </si>
  <si>
    <t>1-1-1</t>
  </si>
  <si>
    <t>1-1-2</t>
  </si>
  <si>
    <t>1-2-1</t>
  </si>
  <si>
    <t>1-2-2</t>
  </si>
  <si>
    <t>2-1-1</t>
  </si>
  <si>
    <t>3-1-1</t>
  </si>
  <si>
    <t>USER</t>
  </si>
  <si>
    <t>id</t>
  </si>
  <si>
    <t>name</t>
  </si>
  <si>
    <t>address</t>
  </si>
  <si>
    <t>phone</t>
  </si>
  <si>
    <t>update_date</t>
  </si>
  <si>
    <t>create_date</t>
  </si>
  <si>
    <t>delete_date</t>
  </si>
  <si>
    <t>delete_flag</t>
  </si>
  <si>
    <t>テスト四郎</t>
  </si>
  <si>
    <t>東京都サンプル区1-1</t>
  </si>
  <si>
    <t>080-0000-0000</t>
  </si>
  <si>
    <t>佐藤一郎</t>
  </si>
  <si>
    <t>sds</t>
  </si>
  <si>
    <t>jack</t>
  </si>
  <si>
    <t>東</t>
  </si>
  <si>
    <t>テスト太郎</t>
  </si>
  <si>
    <t>xxx</t>
  </si>
  <si>
    <t>二部技術者管理システム</t>
    <phoneticPr fontId="23" type="noConversion"/>
  </si>
  <si>
    <t>付忠海</t>
    <phoneticPr fontId="23" type="noConversion"/>
  </si>
  <si>
    <t>詳細画面に映るクラス名前を表示されること。</t>
    <phoneticPr fontId="23" type="noConversion"/>
  </si>
  <si>
    <t>入力欄はグレイとなり、入力不可であること。</t>
    <phoneticPr fontId="23" type="noConversion"/>
  </si>
  <si>
    <t>詳細画面に映るコンテンツを表示されること。</t>
    <phoneticPr fontId="23" type="noConversion"/>
  </si>
  <si>
    <t>テキスト</t>
    <phoneticPr fontId="23" type="noConversion"/>
  </si>
  <si>
    <t>字数制限</t>
    <phoneticPr fontId="23" type="noConversion"/>
  </si>
  <si>
    <t>右下に正しく表示されること。</t>
    <phoneticPr fontId="23" type="noConversion"/>
  </si>
  <si>
    <t>詳細画面に映る備考の内容を表示されること。</t>
    <phoneticPr fontId="23" type="noConversion"/>
  </si>
  <si>
    <t>「更新」ボタンを押した時</t>
    <phoneticPr fontId="23" type="noConversion"/>
  </si>
  <si>
    <t>「戻る」ボタンを押した時</t>
    <phoneticPr fontId="23" type="noConversion"/>
  </si>
  <si>
    <t>コンテンツが入力されてない場合</t>
    <phoneticPr fontId="23" type="noConversion"/>
  </si>
  <si>
    <t>コンテンツは輸入例に従わない場合</t>
    <phoneticPr fontId="23" type="noConversion"/>
  </si>
  <si>
    <t>「コンテンツ」入力チェック</t>
    <phoneticPr fontId="23" type="noConversion"/>
  </si>
  <si>
    <t>単体テスト仕様書</t>
    <phoneticPr fontId="23" type="noConversion"/>
  </si>
  <si>
    <t>選択可能であること。</t>
    <phoneticPr fontId="23" type="noConversion"/>
  </si>
  <si>
    <r>
      <t>担当先生</t>
    </r>
    <r>
      <rPr>
        <sz val="9"/>
        <rFont val="宋体"/>
        <charset val="134"/>
        <scheme val="major"/>
      </rPr>
      <t>が選択されてない場合</t>
    </r>
    <phoneticPr fontId="23" type="noConversion"/>
  </si>
  <si>
    <r>
      <t>「担当先生」選択</t>
    </r>
    <r>
      <rPr>
        <sz val="9"/>
        <rFont val="Yu Gothic"/>
        <family val="3"/>
        <charset val="128"/>
      </rPr>
      <t>チェック</t>
    </r>
    <phoneticPr fontId="23" type="noConversion"/>
  </si>
  <si>
    <t>コンテンツは輸入例に従って入力された場合</t>
    <phoneticPr fontId="23" type="noConversion"/>
  </si>
  <si>
    <r>
      <t>※</t>
    </r>
    <r>
      <rPr>
        <sz val="11"/>
        <color rgb="FFFF0000"/>
        <rFont val="Yu Gothic"/>
        <family val="2"/>
        <charset val="128"/>
      </rPr>
      <t>更新前</t>
    </r>
    <phoneticPr fontId="23" type="noConversion"/>
  </si>
  <si>
    <t>※更新後</t>
    <phoneticPr fontId="23" type="noConversion"/>
  </si>
  <si>
    <t>担当先生が選択された場合</t>
    <phoneticPr fontId="23" type="noConversion"/>
  </si>
  <si>
    <t>ポップアップを表示</t>
    <phoneticPr fontId="23" type="noConversion"/>
  </si>
  <si>
    <t>「更新不可、入力項目を確認してください。」と明記されるポップアップを表示されること。</t>
    <phoneticPr fontId="23" type="noConversion"/>
  </si>
  <si>
    <t>コンテンツは輸入例に従わない場合</t>
  </si>
  <si>
    <t>担当先生が選択されてない場合</t>
    <phoneticPr fontId="23" type="noConversion"/>
  </si>
  <si>
    <t>全ての項目欄を正しく記入した場合</t>
    <phoneticPr fontId="23" type="noConversion"/>
  </si>
  <si>
    <t>入力内容の確認を促すポップアップを表示されること。</t>
    <phoneticPr fontId="23" type="noConversion"/>
  </si>
  <si>
    <t>エラーメッセージ「コンテンツを入力してください。」を赤字で表示されること及び入力欄は赤色となること。</t>
    <phoneticPr fontId="23" type="noConversion"/>
  </si>
  <si>
    <t>エラーメッセージ「正確な格式で入力してください（例：Java, Python）。」を赤字で表示されること及び入力欄は赤色となること。</t>
    <phoneticPr fontId="23" type="noConversion"/>
  </si>
  <si>
    <t>エラーメッセージ「講師の名前を選択してください。」を赤字で表示されること及び入力欄は赤色となること。</t>
    <phoneticPr fontId="23" type="noConversion"/>
  </si>
  <si>
    <r>
      <t>チェックマーク「</t>
    </r>
    <r>
      <rPr>
        <sz val="9"/>
        <rFont val="Segoe UI Symbol"/>
        <family val="2"/>
      </rPr>
      <t>✓</t>
    </r>
    <r>
      <rPr>
        <sz val="9"/>
        <rFont val="宋体"/>
        <charset val="134"/>
        <scheme val="major"/>
      </rPr>
      <t>」を緑色で表示されること及び入力欄は緑色となること。</t>
    </r>
    <phoneticPr fontId="23" type="noConversion"/>
  </si>
  <si>
    <r>
      <t>チェックマーク「</t>
    </r>
    <r>
      <rPr>
        <sz val="9"/>
        <rFont val="Segoe UI Symbol"/>
        <family val="2"/>
      </rPr>
      <t>✓</t>
    </r>
    <r>
      <rPr>
        <sz val="9"/>
        <rFont val="宋体"/>
        <charset val="128"/>
        <scheme val="major"/>
      </rPr>
      <t>」を緑色で表示されること及び入力欄は緑色となること。</t>
    </r>
    <phoneticPr fontId="23" type="noConversion"/>
  </si>
  <si>
    <t>クラス名前</t>
    <phoneticPr fontId="23" type="noConversion"/>
  </si>
  <si>
    <t>コンテンツ</t>
    <phoneticPr fontId="23" type="noConversion"/>
  </si>
  <si>
    <t>担当先生</t>
    <phoneticPr fontId="23" type="noConversion"/>
  </si>
  <si>
    <t>備考</t>
    <phoneticPr fontId="23" type="noConversion"/>
  </si>
  <si>
    <t>詳細画面に映る担当先生を表示されること。</t>
    <phoneticPr fontId="23" type="noConversion"/>
  </si>
  <si>
    <t>バッジ</t>
    <phoneticPr fontId="23" type="noConversion"/>
  </si>
  <si>
    <t>画面「クラス詳細情報」に遷移すること。</t>
    <phoneticPr fontId="23" type="noConversion"/>
  </si>
  <si>
    <t>「備考：」を表示されること。</t>
    <phoneticPr fontId="23" type="noConversion"/>
  </si>
  <si>
    <t>内容確認のポップアップ</t>
    <phoneticPr fontId="23" type="noConversion"/>
  </si>
  <si>
    <t>タイトル</t>
    <phoneticPr fontId="23" type="noConversion"/>
  </si>
  <si>
    <t>お知らせ</t>
    <phoneticPr fontId="23" type="noConversion"/>
  </si>
  <si>
    <t>「キャンセル」ボタンを押した時</t>
    <phoneticPr fontId="23" type="noConversion"/>
  </si>
  <si>
    <t>内容確認のポップアップを消し、画面「クラス更新入力」に戻ること。</t>
    <phoneticPr fontId="23" type="noConversion"/>
  </si>
  <si>
    <t>正しく表示されること。</t>
    <phoneticPr fontId="23" type="noConversion"/>
  </si>
  <si>
    <t>確認持ちの内容</t>
    <phoneticPr fontId="23" type="noConversion"/>
  </si>
  <si>
    <t>画面に入力された内容をDBに登録し、旧データを上書きすること及び「更新できました。」と明記されるポップアップを表示されること、もしくは、「ユーザー登録の有効期限は切れていた為、登録できませんでした。ユーザーの再登録をお願い致します。」と明記されるポップアップを表示されること。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</si>
</sst>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Blue][=1]&quot;○&quot;;[Red][=2]&quot;×&quot;;General"/>
    <numFmt numFmtId="177" formatCode="&quot;発行日：&quot;yyyy&quot;年&quot;mm&quot;月&quot;dd&quot;日&quot;;@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2"/>
      <name val="ＭＳ Ｐゴシック"/>
      <family val="2"/>
    </font>
    <font>
      <b/>
      <sz val="10"/>
      <name val="游ゴシック"/>
      <family val="2"/>
    </font>
    <font>
      <sz val="11"/>
      <name val="宋体"/>
      <charset val="128"/>
      <scheme val="major"/>
    </font>
    <font>
      <sz val="10"/>
      <name val="游ゴシック"/>
      <family val="2"/>
    </font>
    <font>
      <sz val="9"/>
      <name val="游ゴシック"/>
      <family val="2"/>
    </font>
    <font>
      <b/>
      <sz val="9"/>
      <name val="游ゴシック"/>
      <family val="2"/>
    </font>
    <font>
      <sz val="9"/>
      <name val="ＭＳ Ｐゴシック"/>
      <family val="2"/>
    </font>
    <font>
      <sz val="11"/>
      <color rgb="FFFF0000"/>
      <name val="宋体"/>
      <charset val="134"/>
      <scheme val="minor"/>
    </font>
    <font>
      <sz val="10"/>
      <name val="宋体"/>
      <charset val="129"/>
      <scheme val="major"/>
    </font>
    <font>
      <sz val="9"/>
      <color theme="1"/>
      <name val="宋体"/>
      <charset val="134"/>
      <scheme val="major"/>
    </font>
    <font>
      <b/>
      <sz val="12"/>
      <name val="宋体"/>
      <charset val="129"/>
      <scheme val="major"/>
    </font>
    <font>
      <sz val="9"/>
      <name val="宋体"/>
      <charset val="134"/>
      <scheme val="major"/>
    </font>
    <font>
      <sz val="9"/>
      <name val="宋体"/>
      <charset val="129"/>
      <scheme val="major"/>
    </font>
    <font>
      <sz val="9"/>
      <name val="宋体"/>
      <charset val="128"/>
      <scheme val="major"/>
    </font>
    <font>
      <sz val="12"/>
      <name val="ＭＳ Ｐゴシック"/>
      <family val="2"/>
    </font>
    <font>
      <sz val="11"/>
      <name val="ＭＳ Ｐゴシック"/>
      <family val="2"/>
    </font>
    <font>
      <b/>
      <sz val="24"/>
      <name val="ＭＳ Ｐゴシック"/>
      <family val="2"/>
    </font>
    <font>
      <b/>
      <sz val="18"/>
      <name val="ＭＳ Ｐゴシック"/>
      <family val="2"/>
    </font>
    <font>
      <b/>
      <sz val="26"/>
      <name val="ＭＳ Ｐゴシック"/>
      <family val="2"/>
    </font>
    <font>
      <b/>
      <sz val="16"/>
      <name val="ＭＳ Ｐゴシック"/>
      <family val="2"/>
    </font>
    <font>
      <b/>
      <sz val="26"/>
      <name val="맑은 고딕"/>
      <family val="2"/>
    </font>
    <font>
      <sz val="9"/>
      <name val="宋体"/>
      <family val="3"/>
      <charset val="134"/>
      <scheme val="minor"/>
    </font>
    <font>
      <sz val="9"/>
      <name val="Yu Gothic"/>
      <family val="2"/>
      <charset val="128"/>
    </font>
    <font>
      <sz val="9"/>
      <name val="宋体"/>
      <family val="3"/>
      <charset val="134"/>
      <scheme val="major"/>
    </font>
    <font>
      <sz val="9"/>
      <name val="Yu Gothic"/>
      <family val="3"/>
      <charset val="128"/>
    </font>
    <font>
      <sz val="9"/>
      <color theme="1"/>
      <name val="宋体"/>
      <family val="3"/>
      <charset val="134"/>
      <scheme val="major"/>
    </font>
    <font>
      <sz val="9"/>
      <name val="Segoe UI Symbol"/>
      <family val="2"/>
    </font>
    <font>
      <sz val="11"/>
      <color rgb="FFFF0000"/>
      <name val="宋体"/>
      <family val="3"/>
      <charset val="134"/>
      <scheme val="minor"/>
    </font>
    <font>
      <sz val="11"/>
      <color rgb="FFFF0000"/>
      <name val="Yu Gothic"/>
      <family val="2"/>
      <charset val="128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</cellStyleXfs>
  <cellXfs count="186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22" fontId="0" fillId="0" borderId="1" xfId="0" applyNumberFormat="1" applyBorder="1" applyAlignment="1">
      <alignment vertical="center"/>
    </xf>
    <xf numFmtId="49" fontId="1" fillId="0" borderId="0" xfId="0" applyNumberFormat="1" applyFont="1"/>
    <xf numFmtId="49" fontId="0" fillId="0" borderId="0" xfId="0" applyNumberFormat="1"/>
    <xf numFmtId="49" fontId="3" fillId="0" borderId="0" xfId="1" applyNumberFormat="1" applyFont="1">
      <alignment vertical="center"/>
    </xf>
    <xf numFmtId="49" fontId="4" fillId="0" borderId="2" xfId="1" applyNumberFormat="1" applyFont="1" applyBorder="1">
      <alignment vertical="center"/>
    </xf>
    <xf numFmtId="49" fontId="5" fillId="0" borderId="2" xfId="1" applyNumberFormat="1" applyFont="1" applyBorder="1">
      <alignment vertical="center"/>
    </xf>
    <xf numFmtId="49" fontId="4" fillId="0" borderId="0" xfId="1" applyNumberFormat="1" applyFont="1">
      <alignment vertical="center"/>
    </xf>
    <xf numFmtId="49" fontId="5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6" fillId="0" borderId="4" xfId="1" applyNumberFormat="1" applyFont="1" applyBorder="1">
      <alignment vertical="center"/>
    </xf>
    <xf numFmtId="49" fontId="6" fillId="0" borderId="2" xfId="1" applyNumberFormat="1" applyFont="1" applyBorder="1">
      <alignment vertical="center"/>
    </xf>
    <xf numFmtId="49" fontId="6" fillId="0" borderId="5" xfId="1" applyNumberFormat="1" applyFont="1" applyBorder="1">
      <alignment vertical="center"/>
    </xf>
    <xf numFmtId="49" fontId="7" fillId="0" borderId="0" xfId="1" applyNumberFormat="1" applyFont="1">
      <alignment vertical="center"/>
    </xf>
    <xf numFmtId="49" fontId="7" fillId="0" borderId="5" xfId="1" applyNumberFormat="1" applyFont="1" applyBorder="1">
      <alignment vertical="center"/>
    </xf>
    <xf numFmtId="49" fontId="5" fillId="0" borderId="6" xfId="1" applyNumberFormat="1" applyFont="1" applyBorder="1">
      <alignment vertical="center"/>
    </xf>
    <xf numFmtId="49" fontId="9" fillId="0" borderId="0" xfId="0" applyNumberFormat="1" applyFont="1"/>
    <xf numFmtId="0" fontId="10" fillId="0" borderId="0" xfId="4" applyFont="1"/>
    <xf numFmtId="0" fontId="11" fillId="0" borderId="0" xfId="0" applyFont="1"/>
    <xf numFmtId="0" fontId="1" fillId="0" borderId="0" xfId="0" applyFont="1"/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 wrapText="1"/>
    </xf>
    <xf numFmtId="176" fontId="13" fillId="5" borderId="3" xfId="5" applyNumberFormat="1" applyFont="1" applyFill="1" applyBorder="1" applyAlignment="1">
      <alignment horizontal="center" vertical="center" wrapText="1"/>
    </xf>
    <xf numFmtId="176" fontId="13" fillId="5" borderId="8" xfId="5" applyNumberFormat="1" applyFont="1" applyFill="1" applyBorder="1" applyAlignment="1">
      <alignment horizontal="center" vertical="center" wrapText="1"/>
    </xf>
    <xf numFmtId="176" fontId="13" fillId="0" borderId="3" xfId="5" applyNumberFormat="1" applyFont="1" applyBorder="1" applyAlignment="1">
      <alignment horizontal="center" vertical="center" wrapText="1"/>
    </xf>
    <xf numFmtId="176" fontId="13" fillId="0" borderId="8" xfId="5" applyNumberFormat="1" applyFont="1" applyBorder="1" applyAlignment="1">
      <alignment horizontal="center" vertical="center" wrapText="1"/>
    </xf>
    <xf numFmtId="58" fontId="13" fillId="5" borderId="3" xfId="5" applyNumberFormat="1" applyFont="1" applyFill="1" applyBorder="1" applyAlignment="1">
      <alignment horizontal="center" vertical="center" wrapText="1"/>
    </xf>
    <xf numFmtId="58" fontId="13" fillId="5" borderId="7" xfId="5" applyNumberFormat="1" applyFont="1" applyFill="1" applyBorder="1" applyAlignment="1">
      <alignment horizontal="center" vertical="center" wrapText="1"/>
    </xf>
    <xf numFmtId="58" fontId="13" fillId="5" borderId="8" xfId="5" applyNumberFormat="1" applyFont="1" applyFill="1" applyBorder="1" applyAlignment="1">
      <alignment horizontal="center" vertical="center" wrapText="1"/>
    </xf>
    <xf numFmtId="58" fontId="13" fillId="0" borderId="3" xfId="5" applyNumberFormat="1" applyFont="1" applyBorder="1" applyAlignment="1">
      <alignment horizontal="center" vertical="center" wrapText="1"/>
    </xf>
    <xf numFmtId="58" fontId="13" fillId="0" borderId="7" xfId="5" applyNumberFormat="1" applyFont="1" applyBorder="1" applyAlignment="1">
      <alignment horizontal="center" vertical="center" wrapText="1"/>
    </xf>
    <xf numFmtId="58" fontId="13" fillId="0" borderId="8" xfId="5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16" fillId="0" borderId="0" xfId="1" applyFont="1">
      <alignment vertical="center"/>
    </xf>
    <xf numFmtId="0" fontId="8" fillId="0" borderId="0" xfId="1" applyFont="1">
      <alignment vertical="center"/>
    </xf>
    <xf numFmtId="0" fontId="8" fillId="0" borderId="14" xfId="1" applyFont="1" applyBorder="1">
      <alignment vertical="center"/>
    </xf>
    <xf numFmtId="0" fontId="8" fillId="0" borderId="15" xfId="1" applyFont="1" applyBorder="1">
      <alignment vertical="center"/>
    </xf>
    <xf numFmtId="0" fontId="8" fillId="0" borderId="16" xfId="1" applyFont="1" applyBorder="1">
      <alignment vertical="center"/>
    </xf>
    <xf numFmtId="49" fontId="0" fillId="0" borderId="16" xfId="3" applyNumberFormat="1" applyFont="1" applyBorder="1" applyAlignment="1">
      <alignment vertical="center"/>
    </xf>
    <xf numFmtId="49" fontId="0" fillId="0" borderId="0" xfId="3" applyNumberFormat="1" applyFont="1" applyAlignment="1">
      <alignment vertical="center"/>
    </xf>
    <xf numFmtId="0" fontId="17" fillId="0" borderId="16" xfId="1" applyBorder="1">
      <alignment vertical="center"/>
    </xf>
    <xf numFmtId="0" fontId="17" fillId="0" borderId="0" xfId="1">
      <alignment vertical="center"/>
    </xf>
    <xf numFmtId="0" fontId="16" fillId="0" borderId="16" xfId="1" applyFont="1" applyBorder="1">
      <alignment vertical="center"/>
    </xf>
    <xf numFmtId="0" fontId="8" fillId="0" borderId="16" xfId="1" applyFont="1" applyBorder="1" applyAlignment="1">
      <alignment horizontal="right" vertical="center"/>
    </xf>
    <xf numFmtId="0" fontId="8" fillId="0" borderId="17" xfId="1" applyFont="1" applyBorder="1">
      <alignment vertical="center"/>
    </xf>
    <xf numFmtId="0" fontId="8" fillId="0" borderId="18" xfId="1" applyFont="1" applyBorder="1">
      <alignment vertical="center"/>
    </xf>
    <xf numFmtId="0" fontId="17" fillId="0" borderId="18" xfId="1" applyBorder="1">
      <alignment vertical="center"/>
    </xf>
    <xf numFmtId="0" fontId="8" fillId="0" borderId="4" xfId="1" applyFont="1" applyBorder="1">
      <alignment vertical="center"/>
    </xf>
    <xf numFmtId="0" fontId="8" fillId="0" borderId="2" xfId="1" applyFont="1" applyBorder="1">
      <alignment vertical="center"/>
    </xf>
    <xf numFmtId="0" fontId="8" fillId="0" borderId="5" xfId="1" applyFont="1" applyBorder="1">
      <alignment vertical="center"/>
    </xf>
    <xf numFmtId="0" fontId="8" fillId="0" borderId="10" xfId="1" applyFont="1" applyBorder="1">
      <alignment vertical="center"/>
    </xf>
    <xf numFmtId="0" fontId="8" fillId="0" borderId="11" xfId="1" applyFont="1" applyBorder="1">
      <alignment vertical="center"/>
    </xf>
    <xf numFmtId="0" fontId="8" fillId="0" borderId="9" xfId="1" applyFont="1" applyBorder="1">
      <alignment vertical="center"/>
    </xf>
    <xf numFmtId="0" fontId="8" fillId="0" borderId="6" xfId="1" applyFont="1" applyBorder="1">
      <alignment vertical="center"/>
    </xf>
    <xf numFmtId="0" fontId="8" fillId="0" borderId="12" xfId="1" applyFont="1" applyBorder="1">
      <alignment vertical="center"/>
    </xf>
    <xf numFmtId="0" fontId="8" fillId="0" borderId="19" xfId="1" applyFont="1" applyBorder="1">
      <alignment vertical="center"/>
    </xf>
    <xf numFmtId="0" fontId="8" fillId="0" borderId="13" xfId="1" applyFont="1" applyBorder="1">
      <alignment vertical="center"/>
    </xf>
    <xf numFmtId="49" fontId="0" fillId="0" borderId="13" xfId="3" applyNumberFormat="1" applyFont="1" applyBorder="1" applyAlignment="1">
      <alignment vertical="center"/>
    </xf>
    <xf numFmtId="0" fontId="16" fillId="0" borderId="13" xfId="1" applyFont="1" applyBorder="1">
      <alignment vertical="center"/>
    </xf>
    <xf numFmtId="0" fontId="8" fillId="0" borderId="20" xfId="1" applyFont="1" applyBorder="1">
      <alignment vertical="center"/>
    </xf>
    <xf numFmtId="0" fontId="25" fillId="4" borderId="1" xfId="0" applyFont="1" applyFill="1" applyBorder="1" applyAlignment="1">
      <alignment horizontal="left" vertical="center"/>
    </xf>
    <xf numFmtId="0" fontId="25" fillId="4" borderId="7" xfId="0" applyFont="1" applyFill="1" applyBorder="1" applyAlignment="1">
      <alignment horizontal="left" vertical="center"/>
    </xf>
    <xf numFmtId="176" fontId="13" fillId="4" borderId="3" xfId="5" applyNumberFormat="1" applyFont="1" applyFill="1" applyBorder="1" applyAlignment="1">
      <alignment horizontal="center" vertical="center" wrapText="1"/>
    </xf>
    <xf numFmtId="176" fontId="13" fillId="4" borderId="8" xfId="5" applyNumberFormat="1" applyFont="1" applyFill="1" applyBorder="1" applyAlignment="1">
      <alignment horizontal="center" vertical="center" wrapText="1"/>
    </xf>
    <xf numFmtId="58" fontId="13" fillId="4" borderId="3" xfId="5" applyNumberFormat="1" applyFont="1" applyFill="1" applyBorder="1" applyAlignment="1">
      <alignment horizontal="center" vertical="center" wrapText="1"/>
    </xf>
    <xf numFmtId="58" fontId="13" fillId="4" borderId="7" xfId="5" applyNumberFormat="1" applyFont="1" applyFill="1" applyBorder="1" applyAlignment="1">
      <alignment horizontal="center" vertical="center" wrapText="1"/>
    </xf>
    <xf numFmtId="58" fontId="13" fillId="4" borderId="8" xfId="5" applyNumberFormat="1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5" borderId="3" xfId="0" applyFont="1" applyFill="1" applyBorder="1" applyAlignment="1">
      <alignment horizontal="left" vertical="center" wrapText="1"/>
    </xf>
    <xf numFmtId="0" fontId="25" fillId="5" borderId="7" xfId="0" applyFont="1" applyFill="1" applyBorder="1" applyAlignment="1">
      <alignment horizontal="left" vertical="center" wrapText="1"/>
    </xf>
    <xf numFmtId="0" fontId="25" fillId="5" borderId="8" xfId="0" applyFont="1" applyFill="1" applyBorder="1" applyAlignment="1">
      <alignment horizontal="left" vertical="center" wrapText="1"/>
    </xf>
    <xf numFmtId="14" fontId="13" fillId="5" borderId="3" xfId="5" applyNumberFormat="1" applyFont="1" applyFill="1" applyBorder="1" applyAlignment="1">
      <alignment horizontal="center" vertical="center" wrapText="1"/>
    </xf>
    <xf numFmtId="14" fontId="13" fillId="5" borderId="7" xfId="5" applyNumberFormat="1" applyFont="1" applyFill="1" applyBorder="1" applyAlignment="1">
      <alignment horizontal="center" vertical="center" wrapText="1"/>
    </xf>
    <xf numFmtId="14" fontId="13" fillId="5" borderId="8" xfId="5" applyNumberFormat="1" applyFont="1" applyFill="1" applyBorder="1" applyAlignment="1">
      <alignment horizontal="center" vertical="center" wrapText="1"/>
    </xf>
    <xf numFmtId="49" fontId="29" fillId="0" borderId="0" xfId="0" applyNumberFormat="1" applyFont="1"/>
    <xf numFmtId="14" fontId="13" fillId="4" borderId="3" xfId="5" applyNumberFormat="1" applyFont="1" applyFill="1" applyBorder="1" applyAlignment="1">
      <alignment horizontal="center" vertical="center" wrapText="1"/>
    </xf>
    <xf numFmtId="14" fontId="13" fillId="4" borderId="7" xfId="5" applyNumberFormat="1" applyFont="1" applyFill="1" applyBorder="1" applyAlignment="1">
      <alignment horizontal="center" vertical="center" wrapText="1"/>
    </xf>
    <xf numFmtId="14" fontId="13" fillId="4" borderId="8" xfId="5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18" fillId="0" borderId="5" xfId="1" applyNumberFormat="1" applyFont="1" applyBorder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177" fontId="18" fillId="0" borderId="6" xfId="1" applyNumberFormat="1" applyFont="1" applyBorder="1" applyAlignment="1">
      <alignment horizontal="center" vertical="center"/>
    </xf>
    <xf numFmtId="177" fontId="19" fillId="0" borderId="5" xfId="1" applyNumberFormat="1" applyFont="1" applyBorder="1" applyAlignment="1">
      <alignment horizontal="center" vertical="center"/>
    </xf>
    <xf numFmtId="177" fontId="19" fillId="0" borderId="0" xfId="1" applyNumberFormat="1" applyFont="1" applyAlignment="1">
      <alignment horizontal="center" vertical="center"/>
    </xf>
    <xf numFmtId="177" fontId="19" fillId="0" borderId="6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0" fillId="0" borderId="5" xfId="1" applyNumberFormat="1" applyFont="1" applyBorder="1" applyAlignment="1">
      <alignment horizontal="center" vertical="center"/>
    </xf>
    <xf numFmtId="177" fontId="20" fillId="0" borderId="0" xfId="1" applyNumberFormat="1" applyFont="1" applyAlignment="1">
      <alignment horizontal="center" vertical="center"/>
    </xf>
    <xf numFmtId="177" fontId="20" fillId="0" borderId="6" xfId="1" applyNumberFormat="1" applyFont="1" applyBorder="1" applyAlignment="1">
      <alignment horizontal="center" vertical="center"/>
    </xf>
    <xf numFmtId="176" fontId="13" fillId="5" borderId="3" xfId="5" applyNumberFormat="1" applyFont="1" applyFill="1" applyBorder="1" applyAlignment="1">
      <alignment horizontal="center" vertical="center" wrapText="1"/>
    </xf>
    <xf numFmtId="176" fontId="13" fillId="5" borderId="8" xfId="5" applyNumberFormat="1" applyFont="1" applyFill="1" applyBorder="1" applyAlignment="1">
      <alignment horizontal="center" vertical="center" wrapText="1"/>
    </xf>
    <xf numFmtId="176" fontId="13" fillId="4" borderId="3" xfId="5" applyNumberFormat="1" applyFont="1" applyFill="1" applyBorder="1" applyAlignment="1">
      <alignment horizontal="center" vertical="center" wrapText="1"/>
    </xf>
    <xf numFmtId="176" fontId="13" fillId="4" borderId="8" xfId="5" applyNumberFormat="1" applyFont="1" applyFill="1" applyBorder="1" applyAlignment="1">
      <alignment horizontal="center" vertical="center" wrapText="1"/>
    </xf>
    <xf numFmtId="14" fontId="13" fillId="4" borderId="3" xfId="5" applyNumberFormat="1" applyFont="1" applyFill="1" applyBorder="1" applyAlignment="1">
      <alignment horizontal="center" vertical="center" wrapText="1"/>
    </xf>
    <xf numFmtId="14" fontId="13" fillId="4" borderId="7" xfId="5" applyNumberFormat="1" applyFont="1" applyFill="1" applyBorder="1" applyAlignment="1">
      <alignment horizontal="center" vertical="center" wrapText="1"/>
    </xf>
    <xf numFmtId="14" fontId="13" fillId="4" borderId="8" xfId="5" applyNumberFormat="1" applyFont="1" applyFill="1" applyBorder="1" applyAlignment="1">
      <alignment horizontal="center" vertical="center" wrapText="1"/>
    </xf>
    <xf numFmtId="58" fontId="13" fillId="4" borderId="3" xfId="5" applyNumberFormat="1" applyFont="1" applyFill="1" applyBorder="1" applyAlignment="1">
      <alignment horizontal="center" vertical="center" wrapText="1"/>
    </xf>
    <xf numFmtId="58" fontId="13" fillId="4" borderId="7" xfId="5" applyNumberFormat="1" applyFont="1" applyFill="1" applyBorder="1" applyAlignment="1">
      <alignment horizontal="center" vertical="center" wrapText="1"/>
    </xf>
    <xf numFmtId="58" fontId="13" fillId="4" borderId="8" xfId="5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5" fillId="4" borderId="3" xfId="0" applyFont="1" applyFill="1" applyBorder="1" applyAlignment="1">
      <alignment horizontal="left" vertical="center" wrapText="1"/>
    </xf>
    <xf numFmtId="0" fontId="25" fillId="4" borderId="7" xfId="0" applyFont="1" applyFill="1" applyBorder="1" applyAlignment="1">
      <alignment horizontal="lef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/>
    </xf>
    <xf numFmtId="0" fontId="25" fillId="4" borderId="7" xfId="0" applyFont="1" applyFill="1" applyBorder="1" applyAlignment="1">
      <alignment horizontal="left" vertical="center"/>
    </xf>
    <xf numFmtId="0" fontId="25" fillId="4" borderId="8" xfId="0" applyFont="1" applyFill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176" fontId="13" fillId="0" borderId="3" xfId="5" applyNumberFormat="1" applyFont="1" applyBorder="1" applyAlignment="1">
      <alignment horizontal="center" vertical="center" wrapText="1"/>
    </xf>
    <xf numFmtId="176" fontId="13" fillId="0" borderId="8" xfId="5" applyNumberFormat="1" applyFont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left" vertical="center" wrapText="1"/>
    </xf>
    <xf numFmtId="0" fontId="24" fillId="4" borderId="7" xfId="0" applyFont="1" applyFill="1" applyBorder="1" applyAlignment="1">
      <alignment horizontal="left" vertical="center" wrapText="1"/>
    </xf>
    <xf numFmtId="0" fontId="24" fillId="4" borderId="8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58" fontId="13" fillId="5" borderId="3" xfId="5" applyNumberFormat="1" applyFont="1" applyFill="1" applyBorder="1" applyAlignment="1">
      <alignment horizontal="center" vertical="center" wrapText="1"/>
    </xf>
    <xf numFmtId="58" fontId="13" fillId="5" borderId="7" xfId="5" applyNumberFormat="1" applyFont="1" applyFill="1" applyBorder="1" applyAlignment="1">
      <alignment horizontal="center" vertical="center" wrapText="1"/>
    </xf>
    <xf numFmtId="58" fontId="13" fillId="5" borderId="8" xfId="5" applyNumberFormat="1" applyFont="1" applyFill="1" applyBorder="1" applyAlignment="1">
      <alignment horizontal="center" vertical="center" wrapText="1"/>
    </xf>
    <xf numFmtId="14" fontId="13" fillId="0" borderId="3" xfId="5" applyNumberFormat="1" applyFont="1" applyBorder="1" applyAlignment="1">
      <alignment horizontal="center" vertical="center" wrapText="1"/>
    </xf>
    <xf numFmtId="14" fontId="13" fillId="0" borderId="7" xfId="5" applyNumberFormat="1" applyFont="1" applyBorder="1" applyAlignment="1">
      <alignment horizontal="center" vertical="center" wrapText="1"/>
    </xf>
    <xf numFmtId="14" fontId="13" fillId="0" borderId="8" xfId="5" applyNumberFormat="1" applyFont="1" applyBorder="1" applyAlignment="1">
      <alignment horizontal="center" vertical="center" wrapText="1"/>
    </xf>
    <xf numFmtId="58" fontId="13" fillId="0" borderId="3" xfId="5" applyNumberFormat="1" applyFont="1" applyBorder="1" applyAlignment="1">
      <alignment horizontal="center" vertical="center" wrapText="1"/>
    </xf>
    <xf numFmtId="58" fontId="13" fillId="0" borderId="7" xfId="5" applyNumberFormat="1" applyFont="1" applyBorder="1" applyAlignment="1">
      <alignment horizontal="center" vertical="center" wrapText="1"/>
    </xf>
    <xf numFmtId="58" fontId="13" fillId="0" borderId="8" xfId="5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25" fillId="5" borderId="3" xfId="0" applyFont="1" applyFill="1" applyBorder="1" applyAlignment="1">
      <alignment horizontal="left" vertical="center" wrapText="1"/>
    </xf>
    <xf numFmtId="0" fontId="25" fillId="5" borderId="7" xfId="0" applyFont="1" applyFill="1" applyBorder="1" applyAlignment="1">
      <alignment horizontal="left" vertical="center" wrapText="1"/>
    </xf>
    <xf numFmtId="0" fontId="25" fillId="5" borderId="8" xfId="0" applyFont="1" applyFill="1" applyBorder="1" applyAlignment="1">
      <alignment horizontal="left" vertical="center" wrapText="1"/>
    </xf>
    <xf numFmtId="14" fontId="27" fillId="0" borderId="3" xfId="0" applyNumberFormat="1" applyFont="1" applyBorder="1" applyAlignment="1">
      <alignment horizontal="center" vertical="center" wrapText="1"/>
    </xf>
    <xf numFmtId="14" fontId="27" fillId="0" borderId="7" xfId="0" applyNumberFormat="1" applyFont="1" applyBorder="1" applyAlignment="1">
      <alignment horizontal="center" vertical="center" wrapText="1"/>
    </xf>
    <xf numFmtId="14" fontId="27" fillId="0" borderId="8" xfId="0" applyNumberFormat="1" applyFont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176" fontId="25" fillId="0" borderId="3" xfId="5" applyNumberFormat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left" vertical="center"/>
    </xf>
    <xf numFmtId="0" fontId="15" fillId="4" borderId="8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left" vertical="center"/>
    </xf>
    <xf numFmtId="49" fontId="3" fillId="3" borderId="3" xfId="1" applyNumberFormat="1" applyFont="1" applyFill="1" applyBorder="1" applyAlignment="1">
      <alignment horizontal="left" vertical="center"/>
    </xf>
    <xf numFmtId="49" fontId="7" fillId="3" borderId="1" xfId="1" applyNumberFormat="1" applyFont="1" applyFill="1" applyBorder="1">
      <alignment vertical="center"/>
    </xf>
    <xf numFmtId="0" fontId="2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</cellXfs>
  <cellStyles count="6">
    <cellStyle name="標準 2" xfId="1" xr:uid="{00000000-0005-0000-0000-000031000000}"/>
    <cellStyle name="標準 2 2" xfId="2" xr:uid="{00000000-0005-0000-0000-000032000000}"/>
    <cellStyle name="標準 3" xfId="3" xr:uid="{00000000-0005-0000-0000-000033000000}"/>
    <cellStyle name="標準_部品登録　SW試験要領・成績書" xfId="5" xr:uid="{00000000-0005-0000-0000-000035000000}"/>
    <cellStyle name="標準_詳細設計書" xfId="4" xr:uid="{00000000-0005-0000-0000-000034000000}"/>
    <cellStyle name="常规" xfId="0" builtinId="0"/>
  </cellStyles>
  <dxfs count="20"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</dxfs>
  <tableStyles count="0" defaultTableStyle="TableStyleMedium2" defaultPivotStyle="PivotStyleMedium9"/>
  <colors>
    <mruColors>
      <color rgb="FFCCFFFF"/>
      <color rgb="FFFFFFCC"/>
      <color rgb="FF6B8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65129</xdr:colOff>
      <xdr:row>6</xdr:row>
      <xdr:rowOff>52102</xdr:rowOff>
    </xdr:from>
    <xdr:to>
      <xdr:col>49</xdr:col>
      <xdr:colOff>178452</xdr:colOff>
      <xdr:row>26</xdr:row>
      <xdr:rowOff>52366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EA3F022-B022-91CF-BE60-1BE07B3DB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334" y="1374205"/>
          <a:ext cx="7772400" cy="4168469"/>
        </a:xfrm>
        <a:prstGeom prst="rect">
          <a:avLst/>
        </a:prstGeom>
      </xdr:spPr>
    </xdr:pic>
    <xdr:clientData/>
  </xdr:twoCellAnchor>
  <xdr:twoCellAnchor>
    <xdr:from>
      <xdr:col>43</xdr:col>
      <xdr:colOff>175846</xdr:colOff>
      <xdr:row>24</xdr:row>
      <xdr:rowOff>104205</xdr:rowOff>
    </xdr:from>
    <xdr:to>
      <xdr:col>47</xdr:col>
      <xdr:colOff>32564</xdr:colOff>
      <xdr:row>25</xdr:row>
      <xdr:rowOff>162821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8B703373-00C5-3224-E55D-70EC0E531461}"/>
            </a:ext>
          </a:extLst>
        </xdr:cNvPr>
        <xdr:cNvSpPr/>
      </xdr:nvSpPr>
      <xdr:spPr>
        <a:xfrm>
          <a:off x="8114974" y="5177692"/>
          <a:ext cx="586154" cy="26702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166880</xdr:colOff>
      <xdr:row>26</xdr:row>
      <xdr:rowOff>179983</xdr:rowOff>
    </xdr:from>
    <xdr:to>
      <xdr:col>29</xdr:col>
      <xdr:colOff>69188</xdr:colOff>
      <xdr:row>30</xdr:row>
      <xdr:rowOff>134393</xdr:rowOff>
    </xdr:to>
    <xdr:sp macro="" textlink="">
      <xdr:nvSpPr>
        <xdr:cNvPr id="5" name="箭头: 下 4">
          <a:extLst>
            <a:ext uri="{FF2B5EF4-FFF2-40B4-BE49-F238E27FC236}">
              <a16:creationId xmlns:a16="http://schemas.microsoft.com/office/drawing/2014/main" id="{1E58EDCA-3D06-4D76-89DA-179AAA400701}"/>
            </a:ext>
          </a:extLst>
        </xdr:cNvPr>
        <xdr:cNvSpPr/>
      </xdr:nvSpPr>
      <xdr:spPr>
        <a:xfrm>
          <a:off x="4927139" y="5612595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89646</xdr:colOff>
      <xdr:row>31</xdr:row>
      <xdr:rowOff>53789</xdr:rowOff>
    </xdr:from>
    <xdr:to>
      <xdr:col>50</xdr:col>
      <xdr:colOff>71717</xdr:colOff>
      <xdr:row>51</xdr:row>
      <xdr:rowOff>95437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8543C82-27F0-E489-1E3C-6FB7B8EE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17" y="6517342"/>
          <a:ext cx="7691718" cy="4165413"/>
        </a:xfrm>
        <a:prstGeom prst="rect">
          <a:avLst/>
        </a:prstGeom>
      </xdr:spPr>
    </xdr:pic>
    <xdr:clientData/>
  </xdr:twoCellAnchor>
  <xdr:twoCellAnchor editAs="oneCell">
    <xdr:from>
      <xdr:col>7</xdr:col>
      <xdr:colOff>98612</xdr:colOff>
      <xdr:row>54</xdr:row>
      <xdr:rowOff>125506</xdr:rowOff>
    </xdr:from>
    <xdr:to>
      <xdr:col>50</xdr:col>
      <xdr:colOff>89647</xdr:colOff>
      <xdr:row>74</xdr:row>
      <xdr:rowOff>170210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BBD32C8-C615-D32A-6A89-EA62F8AD7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283" y="11331388"/>
          <a:ext cx="7700682" cy="4168469"/>
        </a:xfrm>
        <a:prstGeom prst="rect">
          <a:avLst/>
        </a:prstGeom>
      </xdr:spPr>
    </xdr:pic>
    <xdr:clientData/>
  </xdr:twoCellAnchor>
  <xdr:twoCellAnchor>
    <xdr:from>
      <xdr:col>44</xdr:col>
      <xdr:colOff>80682</xdr:colOff>
      <xdr:row>73</xdr:row>
      <xdr:rowOff>0</xdr:rowOff>
    </xdr:from>
    <xdr:to>
      <xdr:col>47</xdr:col>
      <xdr:colOff>116694</xdr:colOff>
      <xdr:row>74</xdr:row>
      <xdr:rowOff>58617</xdr:rowOff>
    </xdr:to>
    <xdr:sp macro="" textlink="">
      <xdr:nvSpPr>
        <xdr:cNvPr id="44" name="椭圆 43">
          <a:extLst>
            <a:ext uri="{FF2B5EF4-FFF2-40B4-BE49-F238E27FC236}">
              <a16:creationId xmlns:a16="http://schemas.microsoft.com/office/drawing/2014/main" id="{CFA97439-57E9-4D36-8F77-7D33F8D40D57}"/>
            </a:ext>
          </a:extLst>
        </xdr:cNvPr>
        <xdr:cNvSpPr/>
      </xdr:nvSpPr>
      <xdr:spPr>
        <a:xfrm>
          <a:off x="8068235" y="15123459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62752</xdr:colOff>
      <xdr:row>75</xdr:row>
      <xdr:rowOff>134472</xdr:rowOff>
    </xdr:from>
    <xdr:to>
      <xdr:col>29</xdr:col>
      <xdr:colOff>144354</xdr:colOff>
      <xdr:row>79</xdr:row>
      <xdr:rowOff>88882</xdr:rowOff>
    </xdr:to>
    <xdr:sp macro="" textlink="">
      <xdr:nvSpPr>
        <xdr:cNvPr id="45" name="箭头: 下 44">
          <a:extLst>
            <a:ext uri="{FF2B5EF4-FFF2-40B4-BE49-F238E27FC236}">
              <a16:creationId xmlns:a16="http://schemas.microsoft.com/office/drawing/2014/main" id="{45C64EA0-F6F2-4B7C-A87E-0784B3872E66}"/>
            </a:ext>
          </a:extLst>
        </xdr:cNvPr>
        <xdr:cNvSpPr/>
      </xdr:nvSpPr>
      <xdr:spPr>
        <a:xfrm>
          <a:off x="5002305" y="15670307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116540</xdr:colOff>
      <xdr:row>80</xdr:row>
      <xdr:rowOff>44824</xdr:rowOff>
    </xdr:from>
    <xdr:to>
      <xdr:col>50</xdr:col>
      <xdr:colOff>107576</xdr:colOff>
      <xdr:row>100</xdr:row>
      <xdr:rowOff>89528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C771B9D-79CF-4E38-DC89-F1A5AC9C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211" y="16611600"/>
          <a:ext cx="7700683" cy="4168469"/>
        </a:xfrm>
        <a:prstGeom prst="rect">
          <a:avLst/>
        </a:prstGeom>
      </xdr:spPr>
    </xdr:pic>
    <xdr:clientData/>
  </xdr:twoCellAnchor>
  <xdr:twoCellAnchor editAs="oneCell">
    <xdr:from>
      <xdr:col>7</xdr:col>
      <xdr:colOff>98611</xdr:colOff>
      <xdr:row>104</xdr:row>
      <xdr:rowOff>0</xdr:rowOff>
    </xdr:from>
    <xdr:to>
      <xdr:col>50</xdr:col>
      <xdr:colOff>116541</xdr:colOff>
      <xdr:row>125</xdr:row>
      <xdr:rowOff>26775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4EBBFCB-B527-9234-A461-15E6CA05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282" y="21515294"/>
          <a:ext cx="7727577" cy="4168469"/>
        </a:xfrm>
        <a:prstGeom prst="rect">
          <a:avLst/>
        </a:prstGeom>
      </xdr:spPr>
    </xdr:pic>
    <xdr:clientData/>
  </xdr:twoCellAnchor>
  <xdr:twoCellAnchor>
    <xdr:from>
      <xdr:col>44</xdr:col>
      <xdr:colOff>107577</xdr:colOff>
      <xdr:row>123</xdr:row>
      <xdr:rowOff>17930</xdr:rowOff>
    </xdr:from>
    <xdr:to>
      <xdr:col>47</xdr:col>
      <xdr:colOff>143589</xdr:colOff>
      <xdr:row>124</xdr:row>
      <xdr:rowOff>103441</xdr:rowOff>
    </xdr:to>
    <xdr:sp macro="" textlink="">
      <xdr:nvSpPr>
        <xdr:cNvPr id="52" name="椭圆 51">
          <a:extLst>
            <a:ext uri="{FF2B5EF4-FFF2-40B4-BE49-F238E27FC236}">
              <a16:creationId xmlns:a16="http://schemas.microsoft.com/office/drawing/2014/main" id="{05FAF4E5-FEDB-4688-A8D5-32C97D9BB972}"/>
            </a:ext>
          </a:extLst>
        </xdr:cNvPr>
        <xdr:cNvSpPr/>
      </xdr:nvSpPr>
      <xdr:spPr>
        <a:xfrm>
          <a:off x="8095130" y="25316330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44824</xdr:colOff>
      <xdr:row>126</xdr:row>
      <xdr:rowOff>26895</xdr:rowOff>
    </xdr:from>
    <xdr:to>
      <xdr:col>29</xdr:col>
      <xdr:colOff>126426</xdr:colOff>
      <xdr:row>130</xdr:row>
      <xdr:rowOff>88881</xdr:rowOff>
    </xdr:to>
    <xdr:sp macro="" textlink="">
      <xdr:nvSpPr>
        <xdr:cNvPr id="53" name="箭头: 下 52">
          <a:extLst>
            <a:ext uri="{FF2B5EF4-FFF2-40B4-BE49-F238E27FC236}">
              <a16:creationId xmlns:a16="http://schemas.microsoft.com/office/drawing/2014/main" id="{CFB46489-2852-4354-9FDC-2D23ECD042AE}"/>
            </a:ext>
          </a:extLst>
        </xdr:cNvPr>
        <xdr:cNvSpPr/>
      </xdr:nvSpPr>
      <xdr:spPr>
        <a:xfrm>
          <a:off x="4984377" y="25863177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89646</xdr:colOff>
      <xdr:row>131</xdr:row>
      <xdr:rowOff>107576</xdr:rowOff>
    </xdr:from>
    <xdr:to>
      <xdr:col>50</xdr:col>
      <xdr:colOff>107576</xdr:colOff>
      <xdr:row>154</xdr:row>
      <xdr:rowOff>152280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4AEA3329-3517-5558-5B94-2AD62014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17" y="26840329"/>
          <a:ext cx="7727577" cy="4168469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160</xdr:row>
      <xdr:rowOff>17929</xdr:rowOff>
    </xdr:from>
    <xdr:to>
      <xdr:col>50</xdr:col>
      <xdr:colOff>107576</xdr:colOff>
      <xdr:row>183</xdr:row>
      <xdr:rowOff>62633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81C9CF0C-F997-003E-8A77-2554A6D3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18" y="31950211"/>
          <a:ext cx="7727576" cy="4168469"/>
        </a:xfrm>
        <a:prstGeom prst="rect">
          <a:avLst/>
        </a:prstGeom>
      </xdr:spPr>
    </xdr:pic>
    <xdr:clientData/>
  </xdr:twoCellAnchor>
  <xdr:twoCellAnchor>
    <xdr:from>
      <xdr:col>44</xdr:col>
      <xdr:colOff>80682</xdr:colOff>
      <xdr:row>181</xdr:row>
      <xdr:rowOff>44823</xdr:rowOff>
    </xdr:from>
    <xdr:to>
      <xdr:col>47</xdr:col>
      <xdr:colOff>116694</xdr:colOff>
      <xdr:row>182</xdr:row>
      <xdr:rowOff>130334</xdr:rowOff>
    </xdr:to>
    <xdr:sp macro="" textlink="">
      <xdr:nvSpPr>
        <xdr:cNvPr id="58" name="椭圆 57">
          <a:extLst>
            <a:ext uri="{FF2B5EF4-FFF2-40B4-BE49-F238E27FC236}">
              <a16:creationId xmlns:a16="http://schemas.microsoft.com/office/drawing/2014/main" id="{569DB00A-EABD-470F-A18D-0BEFE08DDAAB}"/>
            </a:ext>
          </a:extLst>
        </xdr:cNvPr>
        <xdr:cNvSpPr/>
      </xdr:nvSpPr>
      <xdr:spPr>
        <a:xfrm>
          <a:off x="8068235" y="35742282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125505</xdr:colOff>
      <xdr:row>184</xdr:row>
      <xdr:rowOff>53788</xdr:rowOff>
    </xdr:from>
    <xdr:to>
      <xdr:col>29</xdr:col>
      <xdr:colOff>27813</xdr:colOff>
      <xdr:row>188</xdr:row>
      <xdr:rowOff>115774</xdr:rowOff>
    </xdr:to>
    <xdr:sp macro="" textlink="">
      <xdr:nvSpPr>
        <xdr:cNvPr id="59" name="箭头: 下 58">
          <a:extLst>
            <a:ext uri="{FF2B5EF4-FFF2-40B4-BE49-F238E27FC236}">
              <a16:creationId xmlns:a16="http://schemas.microsoft.com/office/drawing/2014/main" id="{92CC6808-98A4-4136-85A0-13E2A817C6EC}"/>
            </a:ext>
          </a:extLst>
        </xdr:cNvPr>
        <xdr:cNvSpPr/>
      </xdr:nvSpPr>
      <xdr:spPr>
        <a:xfrm>
          <a:off x="4885764" y="36289129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89647</xdr:colOff>
      <xdr:row>189</xdr:row>
      <xdr:rowOff>116541</xdr:rowOff>
    </xdr:from>
    <xdr:to>
      <xdr:col>50</xdr:col>
      <xdr:colOff>116541</xdr:colOff>
      <xdr:row>212</xdr:row>
      <xdr:rowOff>161246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9BAD9E99-1631-553E-2DA6-11A83E08A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18" y="37248353"/>
          <a:ext cx="7736541" cy="4168469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218</xdr:row>
      <xdr:rowOff>152400</xdr:rowOff>
    </xdr:from>
    <xdr:to>
      <xdr:col>50</xdr:col>
      <xdr:colOff>116541</xdr:colOff>
      <xdr:row>242</xdr:row>
      <xdr:rowOff>23513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A42D3CE1-53FB-9D41-0A29-872311015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18" y="42483741"/>
          <a:ext cx="7736541" cy="4174172"/>
        </a:xfrm>
        <a:prstGeom prst="rect">
          <a:avLst/>
        </a:prstGeom>
      </xdr:spPr>
    </xdr:pic>
    <xdr:clientData/>
  </xdr:twoCellAnchor>
  <xdr:twoCellAnchor>
    <xdr:from>
      <xdr:col>44</xdr:col>
      <xdr:colOff>89647</xdr:colOff>
      <xdr:row>240</xdr:row>
      <xdr:rowOff>8963</xdr:rowOff>
    </xdr:from>
    <xdr:to>
      <xdr:col>47</xdr:col>
      <xdr:colOff>125659</xdr:colOff>
      <xdr:row>241</xdr:row>
      <xdr:rowOff>94474</xdr:rowOff>
    </xdr:to>
    <xdr:sp macro="" textlink="">
      <xdr:nvSpPr>
        <xdr:cNvPr id="64" name="椭圆 63">
          <a:extLst>
            <a:ext uri="{FF2B5EF4-FFF2-40B4-BE49-F238E27FC236}">
              <a16:creationId xmlns:a16="http://schemas.microsoft.com/office/drawing/2014/main" id="{1E9B54A8-050A-4414-9187-F9E18ECCFB32}"/>
            </a:ext>
          </a:extLst>
        </xdr:cNvPr>
        <xdr:cNvSpPr/>
      </xdr:nvSpPr>
      <xdr:spPr>
        <a:xfrm>
          <a:off x="8077200" y="46284775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107577</xdr:colOff>
      <xdr:row>243</xdr:row>
      <xdr:rowOff>62753</xdr:rowOff>
    </xdr:from>
    <xdr:to>
      <xdr:col>30</xdr:col>
      <xdr:colOff>9885</xdr:colOff>
      <xdr:row>247</xdr:row>
      <xdr:rowOff>124739</xdr:rowOff>
    </xdr:to>
    <xdr:sp macro="" textlink="">
      <xdr:nvSpPr>
        <xdr:cNvPr id="65" name="箭头: 下 64">
          <a:extLst>
            <a:ext uri="{FF2B5EF4-FFF2-40B4-BE49-F238E27FC236}">
              <a16:creationId xmlns:a16="http://schemas.microsoft.com/office/drawing/2014/main" id="{2CECC79E-70A6-49E0-BAA8-5088AD44492F}"/>
            </a:ext>
          </a:extLst>
        </xdr:cNvPr>
        <xdr:cNvSpPr/>
      </xdr:nvSpPr>
      <xdr:spPr>
        <a:xfrm>
          <a:off x="5047130" y="46876447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80683</xdr:colOff>
      <xdr:row>248</xdr:row>
      <xdr:rowOff>125505</xdr:rowOff>
    </xdr:from>
    <xdr:to>
      <xdr:col>50</xdr:col>
      <xdr:colOff>125506</xdr:colOff>
      <xdr:row>271</xdr:row>
      <xdr:rowOff>170210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11174C01-925E-A9E1-FDC0-18499A1A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354" y="47835670"/>
          <a:ext cx="7754470" cy="4168469"/>
        </a:xfrm>
        <a:prstGeom prst="rect">
          <a:avLst/>
        </a:prstGeom>
      </xdr:spPr>
    </xdr:pic>
    <xdr:clientData/>
  </xdr:twoCellAnchor>
  <xdr:twoCellAnchor>
    <xdr:from>
      <xdr:col>20</xdr:col>
      <xdr:colOff>125505</xdr:colOff>
      <xdr:row>263</xdr:row>
      <xdr:rowOff>62753</xdr:rowOff>
    </xdr:from>
    <xdr:to>
      <xdr:col>23</xdr:col>
      <xdr:colOff>161517</xdr:colOff>
      <xdr:row>264</xdr:row>
      <xdr:rowOff>148263</xdr:rowOff>
    </xdr:to>
    <xdr:sp macro="" textlink="">
      <xdr:nvSpPr>
        <xdr:cNvPr id="68" name="椭圆 67">
          <a:extLst>
            <a:ext uri="{FF2B5EF4-FFF2-40B4-BE49-F238E27FC236}">
              <a16:creationId xmlns:a16="http://schemas.microsoft.com/office/drawing/2014/main" id="{470E2D3B-6A4C-4337-8CD1-54C2A46CDB47}"/>
            </a:ext>
          </a:extLst>
        </xdr:cNvPr>
        <xdr:cNvSpPr/>
      </xdr:nvSpPr>
      <xdr:spPr>
        <a:xfrm>
          <a:off x="3809999" y="50462329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125506</xdr:colOff>
      <xdr:row>272</xdr:row>
      <xdr:rowOff>152400</xdr:rowOff>
    </xdr:from>
    <xdr:to>
      <xdr:col>30</xdr:col>
      <xdr:colOff>27814</xdr:colOff>
      <xdr:row>277</xdr:row>
      <xdr:rowOff>35093</xdr:rowOff>
    </xdr:to>
    <xdr:sp macro="" textlink="">
      <xdr:nvSpPr>
        <xdr:cNvPr id="69" name="箭头: 下 68">
          <a:extLst>
            <a:ext uri="{FF2B5EF4-FFF2-40B4-BE49-F238E27FC236}">
              <a16:creationId xmlns:a16="http://schemas.microsoft.com/office/drawing/2014/main" id="{9F4B0CCB-E725-4CB6-B31D-F8F3AE130D88}"/>
            </a:ext>
          </a:extLst>
        </xdr:cNvPr>
        <xdr:cNvSpPr/>
      </xdr:nvSpPr>
      <xdr:spPr>
        <a:xfrm>
          <a:off x="5065059" y="52165624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71717</xdr:colOff>
      <xdr:row>278</xdr:row>
      <xdr:rowOff>71719</xdr:rowOff>
    </xdr:from>
    <xdr:to>
      <xdr:col>50</xdr:col>
      <xdr:colOff>134470</xdr:colOff>
      <xdr:row>301</xdr:row>
      <xdr:rowOff>116423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BE164DC9-A933-1CFC-7167-3F5DDC1A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388" y="53160707"/>
          <a:ext cx="7772400" cy="4168469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290</xdr:row>
      <xdr:rowOff>62753</xdr:rowOff>
    </xdr:from>
    <xdr:to>
      <xdr:col>26</xdr:col>
      <xdr:colOff>36011</xdr:colOff>
      <xdr:row>291</xdr:row>
      <xdr:rowOff>148264</xdr:rowOff>
    </xdr:to>
    <xdr:sp macro="" textlink="">
      <xdr:nvSpPr>
        <xdr:cNvPr id="72" name="椭圆 71">
          <a:extLst>
            <a:ext uri="{FF2B5EF4-FFF2-40B4-BE49-F238E27FC236}">
              <a16:creationId xmlns:a16="http://schemas.microsoft.com/office/drawing/2014/main" id="{D2EA52DB-7984-46EB-8863-35C74BBC174A}"/>
            </a:ext>
          </a:extLst>
        </xdr:cNvPr>
        <xdr:cNvSpPr/>
      </xdr:nvSpPr>
      <xdr:spPr>
        <a:xfrm>
          <a:off x="4222376" y="55303271"/>
          <a:ext cx="573894" cy="2648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17930</xdr:colOff>
      <xdr:row>302</xdr:row>
      <xdr:rowOff>98612</xdr:rowOff>
    </xdr:from>
    <xdr:to>
      <xdr:col>29</xdr:col>
      <xdr:colOff>99532</xdr:colOff>
      <xdr:row>306</xdr:row>
      <xdr:rowOff>160598</xdr:rowOff>
    </xdr:to>
    <xdr:sp macro="" textlink="">
      <xdr:nvSpPr>
        <xdr:cNvPr id="73" name="箭头: 下 72">
          <a:extLst>
            <a:ext uri="{FF2B5EF4-FFF2-40B4-BE49-F238E27FC236}">
              <a16:creationId xmlns:a16="http://schemas.microsoft.com/office/drawing/2014/main" id="{3035EA4B-87D6-435A-8677-1024ADCA0C17}"/>
            </a:ext>
          </a:extLst>
        </xdr:cNvPr>
        <xdr:cNvSpPr/>
      </xdr:nvSpPr>
      <xdr:spPr>
        <a:xfrm>
          <a:off x="4957483" y="57490659"/>
          <a:ext cx="440190" cy="779163"/>
        </a:xfrm>
        <a:prstGeom prst="down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80682</xdr:colOff>
      <xdr:row>308</xdr:row>
      <xdr:rowOff>26894</xdr:rowOff>
    </xdr:from>
    <xdr:to>
      <xdr:col>50</xdr:col>
      <xdr:colOff>143435</xdr:colOff>
      <xdr:row>343</xdr:row>
      <xdr:rowOff>18140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493D4015-FB87-35FD-E108-9963F07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353" y="58494706"/>
          <a:ext cx="7772400" cy="6266540"/>
        </a:xfrm>
        <a:prstGeom prst="rect">
          <a:avLst/>
        </a:prstGeom>
      </xdr:spPr>
    </xdr:pic>
    <xdr:clientData/>
  </xdr:twoCellAnchor>
  <xdr:twoCellAnchor editAs="oneCell">
    <xdr:from>
      <xdr:col>7</xdr:col>
      <xdr:colOff>71718</xdr:colOff>
      <xdr:row>348</xdr:row>
      <xdr:rowOff>35859</xdr:rowOff>
    </xdr:from>
    <xdr:to>
      <xdr:col>50</xdr:col>
      <xdr:colOff>134471</xdr:colOff>
      <xdr:row>376</xdr:row>
      <xdr:rowOff>172477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47767699-A7E4-7768-3B98-BD68E34EF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389" y="65729224"/>
          <a:ext cx="7772400" cy="5156853"/>
        </a:xfrm>
        <a:prstGeom prst="rect">
          <a:avLst/>
        </a:prstGeom>
      </xdr:spPr>
    </xdr:pic>
    <xdr:clientData/>
  </xdr:twoCellAnchor>
  <xdr:twoCellAnchor editAs="oneCell">
    <xdr:from>
      <xdr:col>7</xdr:col>
      <xdr:colOff>71718</xdr:colOff>
      <xdr:row>381</xdr:row>
      <xdr:rowOff>62751</xdr:rowOff>
    </xdr:from>
    <xdr:to>
      <xdr:col>50</xdr:col>
      <xdr:colOff>134471</xdr:colOff>
      <xdr:row>410</xdr:row>
      <xdr:rowOff>25786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4ECDF01C-4D04-CB2D-0B83-9ADBE6102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389" y="71672822"/>
          <a:ext cx="7772400" cy="5162564"/>
        </a:xfrm>
        <a:prstGeom prst="rect">
          <a:avLst/>
        </a:prstGeom>
      </xdr:spPr>
    </xdr:pic>
    <xdr:clientData/>
  </xdr:twoCellAnchor>
  <xdr:twoCellAnchor>
    <xdr:from>
      <xdr:col>7</xdr:col>
      <xdr:colOff>161365</xdr:colOff>
      <xdr:row>357</xdr:row>
      <xdr:rowOff>116541</xdr:rowOff>
    </xdr:from>
    <xdr:to>
      <xdr:col>13</xdr:col>
      <xdr:colOff>71718</xdr:colOff>
      <xdr:row>359</xdr:row>
      <xdr:rowOff>0</xdr:rowOff>
    </xdr:to>
    <xdr:sp macro="" textlink="">
      <xdr:nvSpPr>
        <xdr:cNvPr id="80" name="椭圆 79">
          <a:extLst>
            <a:ext uri="{FF2B5EF4-FFF2-40B4-BE49-F238E27FC236}">
              <a16:creationId xmlns:a16="http://schemas.microsoft.com/office/drawing/2014/main" id="{F7CA1686-0067-172F-6AA8-FABBFD68D8C0}"/>
            </a:ext>
          </a:extLst>
        </xdr:cNvPr>
        <xdr:cNvSpPr/>
      </xdr:nvSpPr>
      <xdr:spPr>
        <a:xfrm>
          <a:off x="1515036" y="67423553"/>
          <a:ext cx="986117" cy="24204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170331</xdr:colOff>
      <xdr:row>370</xdr:row>
      <xdr:rowOff>48898</xdr:rowOff>
    </xdr:from>
    <xdr:to>
      <xdr:col>12</xdr:col>
      <xdr:colOff>170331</xdr:colOff>
      <xdr:row>371</xdr:row>
      <xdr:rowOff>89647</xdr:rowOff>
    </xdr:to>
    <xdr:sp macro="" textlink="">
      <xdr:nvSpPr>
        <xdr:cNvPr id="81" name="椭圆 80">
          <a:extLst>
            <a:ext uri="{FF2B5EF4-FFF2-40B4-BE49-F238E27FC236}">
              <a16:creationId xmlns:a16="http://schemas.microsoft.com/office/drawing/2014/main" id="{8D4D00C5-E03D-4DB5-877F-8D81E55E6FCE}"/>
            </a:ext>
          </a:extLst>
        </xdr:cNvPr>
        <xdr:cNvSpPr/>
      </xdr:nvSpPr>
      <xdr:spPr>
        <a:xfrm>
          <a:off x="1524002" y="69686733"/>
          <a:ext cx="896470" cy="2200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71719</xdr:colOff>
      <xdr:row>391</xdr:row>
      <xdr:rowOff>8965</xdr:rowOff>
    </xdr:from>
    <xdr:to>
      <xdr:col>11</xdr:col>
      <xdr:colOff>48472</xdr:colOff>
      <xdr:row>391</xdr:row>
      <xdr:rowOff>179293</xdr:rowOff>
    </xdr:to>
    <xdr:sp macro="" textlink="">
      <xdr:nvSpPr>
        <xdr:cNvPr id="82" name="椭圆 81">
          <a:extLst>
            <a:ext uri="{FF2B5EF4-FFF2-40B4-BE49-F238E27FC236}">
              <a16:creationId xmlns:a16="http://schemas.microsoft.com/office/drawing/2014/main" id="{3E7DE0C4-E8DE-4810-9D8F-8965099CB5C5}"/>
            </a:ext>
          </a:extLst>
        </xdr:cNvPr>
        <xdr:cNvSpPr/>
      </xdr:nvSpPr>
      <xdr:spPr>
        <a:xfrm>
          <a:off x="1425390" y="73411977"/>
          <a:ext cx="693929" cy="1703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170329</xdr:colOff>
      <xdr:row>403</xdr:row>
      <xdr:rowOff>80681</xdr:rowOff>
    </xdr:from>
    <xdr:to>
      <xdr:col>12</xdr:col>
      <xdr:colOff>170329</xdr:colOff>
      <xdr:row>404</xdr:row>
      <xdr:rowOff>121430</xdr:rowOff>
    </xdr:to>
    <xdr:sp macro="" textlink="">
      <xdr:nvSpPr>
        <xdr:cNvPr id="83" name="椭圆 82">
          <a:extLst>
            <a:ext uri="{FF2B5EF4-FFF2-40B4-BE49-F238E27FC236}">
              <a16:creationId xmlns:a16="http://schemas.microsoft.com/office/drawing/2014/main" id="{F79F17DB-6BFD-47E8-8BA7-0214B68A478D}"/>
            </a:ext>
          </a:extLst>
        </xdr:cNvPr>
        <xdr:cNvSpPr/>
      </xdr:nvSpPr>
      <xdr:spPr>
        <a:xfrm>
          <a:off x="1524000" y="75635222"/>
          <a:ext cx="896470" cy="22004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9</xdr:col>
      <xdr:colOff>17780</xdr:colOff>
      <xdr:row>4</xdr:row>
      <xdr:rowOff>17145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09600" y="640080"/>
          <a:ext cx="7805420" cy="23050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haku/Library/CloudStorage/GoogleDrive-gohaku.brightstar@gmail.com/.shortcut-targets-by-id/176VdXiYDr-u0r4IajrgKvZm6NHWWu_q5/2025.06.02/95_document/&#19978;&#27969;&#35373;&#35336;&#65286;&#24037;&#31243;/03&#12486;&#12473;&#12488;/02.&#21336;&#20307;&#12486;&#12473;&#12488;&#20181;&#27096;&#26360;&#20363;&#6529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単体試験仕様書"/>
      <sheetName val="エビデンス"/>
    </sheetNames>
    <sheetDataSet>
      <sheetData sheetId="0">
        <row r="13">
          <cell r="M13" t="str">
            <v>単体試験仕様書</v>
          </cell>
        </row>
        <row r="24">
          <cell r="M24" t="str">
            <v>取引先管理システム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5">
    <pageSetUpPr fitToPage="1"/>
  </sheetPr>
  <dimension ref="A1:BB31"/>
  <sheetViews>
    <sheetView showGridLines="0" view="pageBreakPreview" zoomScale="115" zoomScaleNormal="100" workbookViewId="0">
      <selection activeCell="M13" sqref="M13:AQ14"/>
    </sheetView>
  </sheetViews>
  <sheetFormatPr defaultColWidth="2.6640625" defaultRowHeight="13.5" customHeight="1"/>
  <cols>
    <col min="1" max="16384" width="2.6640625" style="43"/>
  </cols>
  <sheetData>
    <row r="1" spans="1:54" ht="13.5" customHeight="1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</row>
    <row r="2" spans="1:54" ht="13.5" customHeight="1">
      <c r="A2" s="89" t="s">
        <v>1</v>
      </c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64"/>
    </row>
    <row r="3" spans="1:54" ht="13.5" customHeight="1">
      <c r="A3" s="89"/>
      <c r="B3" s="46"/>
      <c r="BA3" s="65"/>
    </row>
    <row r="4" spans="1:54" ht="13.5" customHeight="1">
      <c r="A4" s="89"/>
      <c r="B4" s="46"/>
      <c r="BA4" s="65"/>
    </row>
    <row r="5" spans="1:54" ht="13.5" customHeight="1">
      <c r="A5" s="89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66"/>
      <c r="BB5" s="48"/>
    </row>
    <row r="6" spans="1:54" ht="13.5" customHeight="1">
      <c r="A6" s="89"/>
      <c r="B6" s="49"/>
      <c r="C6" s="50"/>
      <c r="D6" s="50"/>
      <c r="E6" s="50"/>
      <c r="F6" s="50"/>
      <c r="BA6" s="65"/>
    </row>
    <row r="7" spans="1:54" s="42" customFormat="1" ht="13.5" customHeight="1">
      <c r="A7" s="89"/>
      <c r="B7" s="51"/>
      <c r="BA7" s="67"/>
    </row>
    <row r="8" spans="1:54" ht="13.5" customHeight="1">
      <c r="A8" s="89"/>
      <c r="B8" s="46"/>
      <c r="BA8" s="65"/>
    </row>
    <row r="9" spans="1:54" ht="13.5" customHeight="1">
      <c r="A9" s="89"/>
      <c r="B9" s="46"/>
      <c r="BA9" s="65"/>
    </row>
    <row r="10" spans="1:54" ht="13.5" customHeight="1">
      <c r="A10" s="89"/>
      <c r="B10" s="52"/>
      <c r="J10" s="50"/>
      <c r="K10" s="50"/>
      <c r="L10" s="50"/>
      <c r="M10" s="50"/>
      <c r="N10" s="50"/>
      <c r="O10" s="50"/>
      <c r="P10" s="50"/>
      <c r="Q10" s="50"/>
      <c r="R10" s="50"/>
      <c r="S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BA10" s="65"/>
    </row>
    <row r="11" spans="1:54" ht="13.5" customHeight="1">
      <c r="A11" s="89"/>
      <c r="B11" s="52"/>
      <c r="J11" s="50"/>
      <c r="K11" s="50"/>
      <c r="L11" s="50"/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61"/>
      <c r="BA11" s="65"/>
    </row>
    <row r="12" spans="1:54" ht="13.5" customHeight="1">
      <c r="A12" s="89"/>
      <c r="B12" s="46"/>
      <c r="D12" s="50"/>
      <c r="E12" s="50"/>
      <c r="F12" s="50"/>
      <c r="G12" s="50"/>
      <c r="H12" s="50"/>
      <c r="J12" s="50"/>
      <c r="K12" s="50"/>
      <c r="L12" s="50"/>
      <c r="M12" s="58"/>
      <c r="AQ12" s="62"/>
      <c r="BA12" s="65"/>
    </row>
    <row r="13" spans="1:54" ht="13.5" customHeight="1">
      <c r="A13" s="89"/>
      <c r="B13" s="46"/>
      <c r="D13" s="50"/>
      <c r="E13" s="50"/>
      <c r="F13" s="50"/>
      <c r="G13" s="50"/>
      <c r="H13" s="50"/>
      <c r="J13" s="50"/>
      <c r="K13" s="50"/>
      <c r="L13" s="50"/>
      <c r="M13" s="90" t="s">
        <v>59</v>
      </c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2"/>
      <c r="BA13" s="65"/>
    </row>
    <row r="14" spans="1:54" ht="13.5" customHeight="1">
      <c r="A14" s="89"/>
      <c r="B14" s="46"/>
      <c r="D14" s="50"/>
      <c r="E14" s="50"/>
      <c r="F14" s="50"/>
      <c r="G14" s="50"/>
      <c r="H14" s="50"/>
      <c r="J14" s="50"/>
      <c r="K14" s="50"/>
      <c r="L14" s="50"/>
      <c r="M14" s="90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2"/>
      <c r="BA14" s="65"/>
    </row>
    <row r="15" spans="1:54" ht="13.5" customHeight="1">
      <c r="A15" s="89"/>
      <c r="B15" s="46"/>
      <c r="D15" s="50"/>
      <c r="E15" s="50"/>
      <c r="F15" s="50"/>
      <c r="G15" s="50"/>
      <c r="H15" s="50"/>
      <c r="J15" s="50"/>
      <c r="K15" s="50"/>
      <c r="L15" s="50"/>
      <c r="M15" s="93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5"/>
      <c r="BA15" s="65"/>
    </row>
    <row r="16" spans="1:54" ht="13.5" customHeight="1">
      <c r="A16" s="89"/>
      <c r="B16" s="46"/>
      <c r="D16" s="50"/>
      <c r="E16" s="50"/>
      <c r="F16" s="50"/>
      <c r="G16" s="50"/>
      <c r="H16" s="50"/>
      <c r="J16" s="50"/>
      <c r="K16" s="50"/>
      <c r="L16" s="50"/>
      <c r="M16" s="93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5"/>
      <c r="BA16" s="65"/>
    </row>
    <row r="17" spans="1:53" ht="13.5" customHeight="1">
      <c r="A17" s="89"/>
      <c r="B17" s="46"/>
      <c r="D17" s="50"/>
      <c r="E17" s="50"/>
      <c r="F17" s="50"/>
      <c r="G17" s="50"/>
      <c r="H17" s="50"/>
      <c r="J17" s="50"/>
      <c r="K17" s="50"/>
      <c r="L17" s="50"/>
      <c r="M17" s="97" t="s">
        <v>2</v>
      </c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9"/>
      <c r="BA17" s="65"/>
    </row>
    <row r="18" spans="1:53" ht="13.5" customHeight="1">
      <c r="A18" s="89"/>
      <c r="B18" s="46"/>
      <c r="D18" s="50"/>
      <c r="E18" s="50"/>
      <c r="F18" s="50"/>
      <c r="G18" s="50"/>
      <c r="H18" s="50"/>
      <c r="J18" s="50"/>
      <c r="K18" s="50"/>
      <c r="L18" s="50"/>
      <c r="M18" s="97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9"/>
      <c r="BA18" s="65"/>
    </row>
    <row r="19" spans="1:53" ht="13.5" customHeight="1">
      <c r="A19" s="89"/>
      <c r="B19" s="46"/>
      <c r="D19" s="50"/>
      <c r="E19" s="50"/>
      <c r="F19" s="50"/>
      <c r="G19" s="50"/>
      <c r="H19" s="50"/>
      <c r="J19" s="50"/>
      <c r="K19" s="50"/>
      <c r="L19" s="50"/>
      <c r="M19" s="59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3"/>
      <c r="BA19" s="65"/>
    </row>
    <row r="20" spans="1:53" ht="13.5" customHeight="1">
      <c r="A20" s="89"/>
      <c r="B20" s="46"/>
      <c r="D20" s="50"/>
      <c r="E20" s="50"/>
      <c r="F20" s="50"/>
      <c r="G20" s="50"/>
      <c r="H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BA20" s="65"/>
    </row>
    <row r="21" spans="1:53" ht="13.5" customHeight="1">
      <c r="A21" s="89"/>
      <c r="B21" s="46"/>
      <c r="D21" s="50"/>
      <c r="E21" s="50"/>
      <c r="F21" s="50"/>
      <c r="G21" s="50"/>
      <c r="H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BA21" s="65"/>
    </row>
    <row r="22" spans="1:53" ht="13.5" customHeight="1">
      <c r="A22" s="89"/>
      <c r="B22" s="46"/>
      <c r="D22" s="50"/>
      <c r="E22" s="50"/>
      <c r="F22" s="50"/>
      <c r="G22" s="50"/>
      <c r="H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BA22" s="65"/>
    </row>
    <row r="23" spans="1:53" ht="13.5" customHeight="1">
      <c r="A23" s="89"/>
      <c r="B23" s="46"/>
      <c r="D23" s="50"/>
      <c r="E23" s="50"/>
      <c r="F23" s="50"/>
      <c r="G23" s="50"/>
      <c r="H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BA23" s="65"/>
    </row>
    <row r="24" spans="1:53" ht="13.5" customHeight="1">
      <c r="A24" s="89"/>
      <c r="B24" s="46"/>
      <c r="D24" s="50"/>
      <c r="E24" s="50"/>
      <c r="F24" s="50"/>
      <c r="G24" s="50"/>
      <c r="H24" s="50"/>
      <c r="J24" s="50"/>
      <c r="K24" s="50"/>
      <c r="L24" s="50"/>
      <c r="M24" s="96" t="s">
        <v>45</v>
      </c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BA24" s="65"/>
    </row>
    <row r="25" spans="1:53" ht="13.5" customHeight="1">
      <c r="A25" s="89"/>
      <c r="B25" s="46"/>
      <c r="D25" s="50"/>
      <c r="E25" s="50"/>
      <c r="F25" s="50"/>
      <c r="G25" s="50"/>
      <c r="H25" s="50"/>
      <c r="J25" s="50"/>
      <c r="K25" s="50"/>
      <c r="L25" s="50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BA25" s="65"/>
    </row>
    <row r="26" spans="1:53" ht="13.5" customHeight="1">
      <c r="A26" s="89"/>
      <c r="B26" s="46"/>
      <c r="D26" s="50"/>
      <c r="E26" s="50"/>
      <c r="F26" s="50"/>
      <c r="G26" s="50"/>
      <c r="H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BA26" s="65"/>
    </row>
    <row r="27" spans="1:53" ht="13.5" customHeight="1">
      <c r="A27" s="89"/>
      <c r="B27" s="46"/>
      <c r="D27" s="50"/>
      <c r="E27" s="50"/>
      <c r="F27" s="50"/>
      <c r="G27" s="50"/>
      <c r="H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BA27" s="65"/>
    </row>
    <row r="28" spans="1:53" ht="13.5" customHeight="1">
      <c r="A28" s="89"/>
      <c r="B28" s="46"/>
      <c r="D28" s="50"/>
      <c r="E28" s="50"/>
      <c r="F28" s="50"/>
      <c r="G28" s="50"/>
      <c r="H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BA28" s="65"/>
    </row>
    <row r="29" spans="1:53" ht="13.5" customHeight="1">
      <c r="A29" s="89"/>
      <c r="B29" s="46"/>
      <c r="D29" s="50"/>
      <c r="E29" s="50"/>
      <c r="F29" s="50"/>
      <c r="G29" s="50"/>
      <c r="H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BA29" s="65"/>
    </row>
    <row r="30" spans="1:53" ht="13.5" customHeight="1">
      <c r="A30" s="89"/>
      <c r="B30" s="46"/>
      <c r="D30" s="50"/>
      <c r="E30" s="50"/>
      <c r="F30" s="50"/>
      <c r="G30" s="50"/>
      <c r="H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BA30" s="65"/>
    </row>
    <row r="31" spans="1:53" ht="13.5" customHeight="1">
      <c r="A31" s="89"/>
      <c r="B31" s="53"/>
      <c r="C31" s="54"/>
      <c r="D31" s="55"/>
      <c r="E31" s="55"/>
      <c r="F31" s="55"/>
      <c r="G31" s="55"/>
      <c r="H31" s="55"/>
      <c r="I31" s="54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4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68"/>
    </row>
  </sheetData>
  <mergeCells count="6">
    <mergeCell ref="A1:BB1"/>
    <mergeCell ref="A2:A31"/>
    <mergeCell ref="M13:AQ14"/>
    <mergeCell ref="M15:AQ16"/>
    <mergeCell ref="M24:AQ25"/>
    <mergeCell ref="M17:AQ18"/>
  </mergeCells>
  <phoneticPr fontId="23" type="noConversion"/>
  <pageMargins left="0.39370078740157499" right="0.39370078740157499" top="0.59055118110236204" bottom="0.39370078740157499" header="0.39370078740157499" footer="0.196850393700787"/>
  <pageSetup paperSize="9" scale="98" fitToHeight="0" orientation="landscape" horizontalDpi="200" verticalDpi="300" r:id="rId1"/>
  <headerFooter alignWithMargins="0">
    <oddHeader>&amp;R&amp;8&amp;F_&amp;A</oddHeader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8"/>
  <sheetViews>
    <sheetView showGridLines="0" tabSelected="1" view="pageBreakPreview" topLeftCell="A38" zoomScale="115" zoomScaleNormal="85" zoomScaleSheetLayoutView="115" workbookViewId="0">
      <selection activeCell="R45" sqref="R45:AL45"/>
    </sheetView>
  </sheetViews>
  <sheetFormatPr defaultColWidth="2.88671875" defaultRowHeight="14.4"/>
  <cols>
    <col min="1" max="1" width="3.109375" style="21" customWidth="1"/>
    <col min="2" max="2" width="3.21875" style="21" customWidth="1"/>
    <col min="3" max="3" width="3.109375" style="21" customWidth="1"/>
    <col min="4" max="34" width="2.88671875" style="21"/>
    <col min="35" max="35" width="3.33203125" style="21" customWidth="1"/>
    <col min="36" max="37" width="2.88671875" style="21"/>
    <col min="38" max="38" width="3.33203125" style="21" customWidth="1"/>
    <col min="39" max="39" width="2.88671875" style="21"/>
    <col min="40" max="40" width="3.33203125" style="21" customWidth="1"/>
    <col min="41" max="41" width="3.77734375" style="21" customWidth="1"/>
    <col min="42" max="42" width="5.88671875" style="21" customWidth="1"/>
    <col min="43" max="43" width="2.88671875" style="21"/>
    <col min="44" max="44" width="3.6640625" style="21" customWidth="1"/>
    <col min="45" max="90" width="2.88671875" style="21"/>
    <col min="91" max="91" width="6.33203125" style="21" customWidth="1"/>
    <col min="92" max="16384" width="2.88671875" style="21"/>
  </cols>
  <sheetData>
    <row r="1" spans="1:54" s="19" customFormat="1" ht="13.5" customHeight="1">
      <c r="A1" s="133" t="str">
        <f>表紙!M24</f>
        <v>二部技術者管理システム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 t="str">
        <f>"＜　"&amp;表紙!M13&amp;"　＞"</f>
        <v>＜　単体テスト仕様書　＞</v>
      </c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64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6"/>
    </row>
    <row r="2" spans="1:54" s="19" customFormat="1" ht="13.5" customHeigh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67" t="s">
        <v>3</v>
      </c>
      <c r="AI2" s="167"/>
      <c r="AJ2" s="167"/>
      <c r="AK2" s="167"/>
      <c r="AL2" s="167"/>
      <c r="AM2" s="168">
        <v>45966</v>
      </c>
      <c r="AN2" s="168"/>
      <c r="AO2" s="168"/>
      <c r="AP2" s="168"/>
      <c r="AQ2" s="168"/>
      <c r="AR2" s="167" t="s">
        <v>4</v>
      </c>
      <c r="AS2" s="167"/>
      <c r="AT2" s="167"/>
      <c r="AU2" s="167"/>
      <c r="AV2" s="167"/>
      <c r="AW2" s="169" t="s">
        <v>46</v>
      </c>
      <c r="AX2" s="167"/>
      <c r="AY2" s="167"/>
      <c r="AZ2" s="167"/>
      <c r="BA2" s="167"/>
      <c r="BB2" s="167"/>
    </row>
    <row r="3" spans="1:54" s="19" customFormat="1" ht="13.5" customHeight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67" t="s">
        <v>5</v>
      </c>
      <c r="AI3" s="167"/>
      <c r="AJ3" s="167"/>
      <c r="AK3" s="167"/>
      <c r="AL3" s="167"/>
      <c r="AM3" s="168"/>
      <c r="AN3" s="168"/>
      <c r="AO3" s="168"/>
      <c r="AP3" s="168"/>
      <c r="AQ3" s="168"/>
      <c r="AR3" s="167" t="s">
        <v>6</v>
      </c>
      <c r="AS3" s="167"/>
      <c r="AT3" s="167"/>
      <c r="AU3" s="167"/>
      <c r="AV3" s="167"/>
      <c r="AW3" s="167"/>
      <c r="AX3" s="167"/>
      <c r="AY3" s="167"/>
      <c r="AZ3" s="167"/>
      <c r="BA3" s="167"/>
      <c r="BB3" s="167"/>
    </row>
    <row r="4" spans="1:54" s="20" customFormat="1" ht="10.8">
      <c r="A4" s="127" t="s">
        <v>7</v>
      </c>
      <c r="B4" s="128"/>
      <c r="C4" s="129"/>
      <c r="D4" s="121" t="s">
        <v>8</v>
      </c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3"/>
      <c r="R4" s="121" t="s">
        <v>9</v>
      </c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3"/>
      <c r="AM4" s="170" t="s">
        <v>10</v>
      </c>
      <c r="AN4" s="171"/>
      <c r="AO4" s="171"/>
      <c r="AP4" s="171"/>
      <c r="AQ4" s="172"/>
      <c r="AR4" s="170" t="s">
        <v>11</v>
      </c>
      <c r="AS4" s="171"/>
      <c r="AT4" s="171"/>
      <c r="AU4" s="171"/>
      <c r="AV4" s="172"/>
      <c r="AW4" s="127" t="s">
        <v>12</v>
      </c>
      <c r="AX4" s="128"/>
      <c r="AY4" s="128"/>
      <c r="AZ4" s="128"/>
      <c r="BA4" s="128"/>
      <c r="BB4" s="128"/>
    </row>
    <row r="5" spans="1:54" s="20" customFormat="1" ht="10.8">
      <c r="A5" s="130"/>
      <c r="B5" s="131"/>
      <c r="C5" s="132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5"/>
      <c r="R5" s="126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5"/>
      <c r="AM5" s="170" t="s">
        <v>10</v>
      </c>
      <c r="AN5" s="172"/>
      <c r="AO5" s="170" t="s">
        <v>13</v>
      </c>
      <c r="AP5" s="171"/>
      <c r="AQ5" s="172"/>
      <c r="AR5" s="170" t="s">
        <v>10</v>
      </c>
      <c r="AS5" s="172"/>
      <c r="AT5" s="170" t="s">
        <v>13</v>
      </c>
      <c r="AU5" s="171"/>
      <c r="AV5" s="172"/>
      <c r="AW5" s="130"/>
      <c r="AX5" s="131"/>
      <c r="AY5" s="131"/>
      <c r="AZ5" s="131"/>
      <c r="BA5" s="131"/>
      <c r="BB5" s="131"/>
    </row>
    <row r="6" spans="1:54" s="20" customFormat="1" ht="21.75" customHeight="1">
      <c r="A6" s="22">
        <v>1</v>
      </c>
      <c r="B6" s="22" t="s">
        <v>14</v>
      </c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6"/>
      <c r="R6" s="142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4"/>
      <c r="AM6" s="100"/>
      <c r="AN6" s="101"/>
      <c r="AO6" s="145"/>
      <c r="AP6" s="146"/>
      <c r="AQ6" s="147"/>
      <c r="AR6" s="100"/>
      <c r="AS6" s="101"/>
      <c r="AT6" s="145"/>
      <c r="AU6" s="146"/>
      <c r="AV6" s="147"/>
      <c r="AW6" s="145"/>
      <c r="AX6" s="146"/>
      <c r="AY6" s="146"/>
      <c r="AZ6" s="146"/>
      <c r="BA6" s="146"/>
      <c r="BB6" s="146"/>
    </row>
    <row r="7" spans="1:54" s="20" customFormat="1" ht="21.75" customHeight="1">
      <c r="A7" s="24"/>
      <c r="B7" s="24">
        <v>1</v>
      </c>
      <c r="C7" s="69" t="s">
        <v>78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9"/>
      <c r="R7" s="142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4"/>
      <c r="AM7" s="100"/>
      <c r="AN7" s="101"/>
      <c r="AO7" s="145"/>
      <c r="AP7" s="146"/>
      <c r="AQ7" s="147"/>
      <c r="AR7" s="100"/>
      <c r="AS7" s="101"/>
      <c r="AT7" s="145"/>
      <c r="AU7" s="146"/>
      <c r="AV7" s="147"/>
      <c r="AW7" s="145"/>
      <c r="AX7" s="146"/>
      <c r="AY7" s="146"/>
      <c r="AZ7" s="146"/>
      <c r="BA7" s="146"/>
      <c r="BB7" s="146"/>
    </row>
    <row r="8" spans="1:54" ht="21.75" customHeight="1">
      <c r="A8" s="24"/>
      <c r="B8" s="24"/>
      <c r="C8" s="24">
        <v>1</v>
      </c>
      <c r="D8" s="23" t="s">
        <v>15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6"/>
      <c r="R8" s="139" t="s">
        <v>91</v>
      </c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1"/>
      <c r="AM8" s="163"/>
      <c r="AN8" s="135"/>
      <c r="AO8" s="148"/>
      <c r="AP8" s="149"/>
      <c r="AQ8" s="150"/>
      <c r="AR8" s="134"/>
      <c r="AS8" s="135"/>
      <c r="AT8" s="151"/>
      <c r="AU8" s="152"/>
      <c r="AV8" s="153"/>
      <c r="AW8" s="151"/>
      <c r="AX8" s="152"/>
      <c r="AY8" s="152"/>
      <c r="AZ8" s="152"/>
      <c r="BA8" s="152"/>
      <c r="BB8" s="152"/>
    </row>
    <row r="9" spans="1:54" ht="21.75" customHeight="1">
      <c r="A9" s="24"/>
      <c r="B9" s="24"/>
      <c r="C9" s="24">
        <v>2</v>
      </c>
      <c r="D9" s="23" t="s">
        <v>16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6"/>
      <c r="R9" s="139" t="s">
        <v>47</v>
      </c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1"/>
      <c r="AM9" s="134"/>
      <c r="AN9" s="135"/>
      <c r="AO9" s="148"/>
      <c r="AP9" s="149"/>
      <c r="AQ9" s="150"/>
      <c r="AR9" s="134"/>
      <c r="AS9" s="135"/>
      <c r="AT9" s="151"/>
      <c r="AU9" s="152"/>
      <c r="AV9" s="153"/>
      <c r="AW9" s="151"/>
      <c r="AX9" s="152"/>
      <c r="AY9" s="152"/>
      <c r="AZ9" s="152"/>
      <c r="BA9" s="152"/>
      <c r="BB9" s="152"/>
    </row>
    <row r="10" spans="1:54" ht="21.75" customHeight="1">
      <c r="A10" s="24"/>
      <c r="B10" s="24"/>
      <c r="C10" s="24">
        <v>3</v>
      </c>
      <c r="D10" s="23" t="s">
        <v>17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6"/>
      <c r="R10" s="139" t="s">
        <v>48</v>
      </c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1"/>
      <c r="AM10" s="134"/>
      <c r="AN10" s="135"/>
      <c r="AO10" s="148"/>
      <c r="AP10" s="149"/>
      <c r="AQ10" s="150"/>
      <c r="AR10" s="33"/>
      <c r="AS10" s="34"/>
      <c r="AT10" s="38"/>
      <c r="AU10" s="39"/>
      <c r="AV10" s="40"/>
      <c r="AW10" s="38"/>
      <c r="AX10" s="39"/>
      <c r="AY10" s="39"/>
      <c r="AZ10" s="39"/>
      <c r="BA10" s="39"/>
      <c r="BB10" s="39"/>
    </row>
    <row r="11" spans="1:54" ht="21.75" customHeight="1">
      <c r="A11" s="24"/>
      <c r="B11" s="24"/>
      <c r="C11" s="24">
        <v>4</v>
      </c>
      <c r="D11" s="76" t="s">
        <v>83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6"/>
      <c r="R11" s="112" t="s">
        <v>91</v>
      </c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4"/>
      <c r="AM11" s="112"/>
      <c r="AN11" s="114"/>
      <c r="AO11" s="112"/>
      <c r="AP11" s="113"/>
      <c r="AQ11" s="114"/>
      <c r="AR11" s="112"/>
      <c r="AS11" s="114"/>
      <c r="AT11" s="112"/>
      <c r="AU11" s="113"/>
      <c r="AV11" s="114"/>
      <c r="AW11" s="112"/>
      <c r="AX11" s="113"/>
      <c r="AY11" s="113"/>
      <c r="AZ11" s="113"/>
      <c r="BA11" s="113"/>
      <c r="BB11" s="113"/>
    </row>
    <row r="12" spans="1:54" s="20" customFormat="1" ht="21.75" customHeight="1">
      <c r="A12" s="24"/>
      <c r="B12" s="24">
        <v>2</v>
      </c>
      <c r="C12" s="69" t="s">
        <v>79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9"/>
      <c r="R12" s="142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4"/>
      <c r="AM12" s="100"/>
      <c r="AN12" s="101"/>
      <c r="AO12" s="145"/>
      <c r="AP12" s="146"/>
      <c r="AQ12" s="147"/>
      <c r="AR12" s="100"/>
      <c r="AS12" s="101"/>
      <c r="AT12" s="145"/>
      <c r="AU12" s="146"/>
      <c r="AV12" s="147"/>
      <c r="AW12" s="145"/>
      <c r="AX12" s="146"/>
      <c r="AY12" s="146"/>
      <c r="AZ12" s="146"/>
      <c r="BA12" s="146"/>
      <c r="BB12" s="146"/>
    </row>
    <row r="13" spans="1:54" s="20" customFormat="1" ht="21.6" customHeight="1">
      <c r="A13" s="24"/>
      <c r="B13" s="24"/>
      <c r="C13" s="24">
        <v>1</v>
      </c>
      <c r="D13" s="23" t="s">
        <v>15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6"/>
      <c r="R13" s="139" t="s">
        <v>91</v>
      </c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1"/>
      <c r="AM13" s="134"/>
      <c r="AN13" s="135"/>
      <c r="AO13" s="148"/>
      <c r="AP13" s="149"/>
      <c r="AQ13" s="150"/>
      <c r="AR13" s="134"/>
      <c r="AS13" s="135"/>
      <c r="AT13" s="151"/>
      <c r="AU13" s="152"/>
      <c r="AV13" s="153"/>
      <c r="AW13" s="151"/>
      <c r="AX13" s="152"/>
      <c r="AY13" s="152"/>
      <c r="AZ13" s="152"/>
      <c r="BA13" s="152"/>
      <c r="BB13" s="152"/>
    </row>
    <row r="14" spans="1:54" ht="21" customHeight="1">
      <c r="A14" s="24"/>
      <c r="B14" s="24"/>
      <c r="C14" s="24">
        <v>2</v>
      </c>
      <c r="D14" s="23" t="s">
        <v>16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6"/>
      <c r="R14" s="139" t="s">
        <v>49</v>
      </c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  <c r="AM14" s="134"/>
      <c r="AN14" s="135"/>
      <c r="AO14" s="148"/>
      <c r="AP14" s="149"/>
      <c r="AQ14" s="150"/>
      <c r="AR14" s="134"/>
      <c r="AS14" s="135"/>
      <c r="AT14" s="151"/>
      <c r="AU14" s="152"/>
      <c r="AV14" s="153"/>
      <c r="AW14" s="151"/>
      <c r="AX14" s="152"/>
      <c r="AY14" s="152"/>
      <c r="AZ14" s="152"/>
      <c r="BA14" s="152"/>
      <c r="BB14" s="152"/>
    </row>
    <row r="15" spans="1:54" ht="21.6" customHeight="1">
      <c r="A15" s="24"/>
      <c r="B15" s="24"/>
      <c r="C15" s="24">
        <v>3</v>
      </c>
      <c r="D15" s="23" t="s">
        <v>17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6"/>
      <c r="R15" s="154" t="s">
        <v>18</v>
      </c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1"/>
      <c r="AM15" s="134"/>
      <c r="AN15" s="135"/>
      <c r="AO15" s="148"/>
      <c r="AP15" s="149"/>
      <c r="AQ15" s="150"/>
      <c r="AR15" s="134"/>
      <c r="AS15" s="135"/>
      <c r="AT15" s="151"/>
      <c r="AU15" s="152"/>
      <c r="AV15" s="153"/>
      <c r="AW15" s="151"/>
      <c r="AX15" s="152"/>
      <c r="AY15" s="152"/>
      <c r="AZ15" s="152"/>
      <c r="BA15" s="152"/>
      <c r="BB15" s="152"/>
    </row>
    <row r="16" spans="1:54" ht="21.6" customHeight="1">
      <c r="A16" s="24"/>
      <c r="B16" s="24"/>
      <c r="C16" s="24">
        <v>4</v>
      </c>
      <c r="D16" s="76" t="s">
        <v>83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6"/>
      <c r="R16" s="112" t="s">
        <v>91</v>
      </c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2"/>
      <c r="AM16" s="102"/>
      <c r="AN16" s="103"/>
      <c r="AO16" s="104"/>
      <c r="AP16" s="105"/>
      <c r="AQ16" s="106"/>
      <c r="AR16" s="102"/>
      <c r="AS16" s="103"/>
      <c r="AT16" s="107"/>
      <c r="AU16" s="108"/>
      <c r="AV16" s="109"/>
      <c r="AW16" s="107"/>
      <c r="AX16" s="108"/>
      <c r="AY16" s="108"/>
      <c r="AZ16" s="108"/>
      <c r="BA16" s="108"/>
      <c r="BB16" s="108"/>
    </row>
    <row r="17" spans="1:54" ht="21.6" customHeight="1">
      <c r="A17" s="24"/>
      <c r="B17" s="24"/>
      <c r="C17" s="24">
        <v>5</v>
      </c>
      <c r="D17" s="76" t="s">
        <v>51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6"/>
      <c r="R17" s="139" t="s">
        <v>52</v>
      </c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1"/>
      <c r="AM17" s="134"/>
      <c r="AN17" s="135"/>
      <c r="AO17" s="148"/>
      <c r="AP17" s="149"/>
      <c r="AQ17" s="150"/>
      <c r="AR17" s="33"/>
      <c r="AS17" s="34"/>
      <c r="AT17" s="38"/>
      <c r="AU17" s="39"/>
      <c r="AV17" s="40"/>
      <c r="AW17" s="38"/>
      <c r="AX17" s="39"/>
      <c r="AY17" s="39"/>
      <c r="AZ17" s="39"/>
      <c r="BA17" s="39"/>
      <c r="BB17" s="39"/>
    </row>
    <row r="18" spans="1:54" s="20" customFormat="1" ht="21.75" customHeight="1">
      <c r="A18" s="24"/>
      <c r="B18" s="24">
        <v>3</v>
      </c>
      <c r="C18" s="69" t="s">
        <v>80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9"/>
      <c r="R18" s="142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4"/>
      <c r="AM18" s="100"/>
      <c r="AN18" s="101"/>
      <c r="AO18" s="145"/>
      <c r="AP18" s="146"/>
      <c r="AQ18" s="147"/>
      <c r="AR18" s="100"/>
      <c r="AS18" s="101"/>
      <c r="AT18" s="145"/>
      <c r="AU18" s="146"/>
      <c r="AV18" s="147"/>
      <c r="AW18" s="145"/>
      <c r="AX18" s="146"/>
      <c r="AY18" s="146"/>
      <c r="AZ18" s="146"/>
      <c r="BA18" s="146"/>
      <c r="BB18" s="146"/>
    </row>
    <row r="19" spans="1:54" s="20" customFormat="1" ht="21.6" customHeight="1">
      <c r="A19" s="24"/>
      <c r="B19" s="24"/>
      <c r="C19" s="69">
        <v>1</v>
      </c>
      <c r="D19" s="70" t="s">
        <v>50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9"/>
      <c r="R19" s="136" t="s">
        <v>91</v>
      </c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8"/>
      <c r="AM19" s="102"/>
      <c r="AN19" s="103"/>
      <c r="AO19" s="104"/>
      <c r="AP19" s="105"/>
      <c r="AQ19" s="106"/>
      <c r="AR19" s="71"/>
      <c r="AS19" s="72"/>
      <c r="AT19" s="73"/>
      <c r="AU19" s="74"/>
      <c r="AV19" s="75"/>
      <c r="AW19" s="73"/>
      <c r="AX19" s="74"/>
      <c r="AY19" s="74"/>
      <c r="AZ19" s="74"/>
      <c r="BA19" s="74"/>
      <c r="BB19" s="74"/>
    </row>
    <row r="20" spans="1:54" ht="21" customHeight="1">
      <c r="A20" s="24"/>
      <c r="B20" s="24"/>
      <c r="C20" s="24">
        <v>2</v>
      </c>
      <c r="D20" s="23" t="s">
        <v>16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6"/>
      <c r="R20" s="139" t="s">
        <v>82</v>
      </c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1"/>
      <c r="AM20" s="134"/>
      <c r="AN20" s="135"/>
      <c r="AO20" s="148"/>
      <c r="AP20" s="149"/>
      <c r="AQ20" s="150"/>
      <c r="AR20" s="134"/>
      <c r="AS20" s="135"/>
      <c r="AT20" s="151"/>
      <c r="AU20" s="152"/>
      <c r="AV20" s="153"/>
      <c r="AW20" s="151"/>
      <c r="AX20" s="152"/>
      <c r="AY20" s="152"/>
      <c r="AZ20" s="152"/>
      <c r="BA20" s="152"/>
      <c r="BB20" s="152"/>
    </row>
    <row r="21" spans="1:54" ht="21.6" customHeight="1">
      <c r="A21" s="24"/>
      <c r="B21" s="24"/>
      <c r="C21" s="24">
        <v>3</v>
      </c>
      <c r="D21" s="23" t="s">
        <v>17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6"/>
      <c r="R21" s="139" t="s">
        <v>60</v>
      </c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1"/>
      <c r="AM21" s="134"/>
      <c r="AN21" s="135"/>
      <c r="AO21" s="148"/>
      <c r="AP21" s="149"/>
      <c r="AQ21" s="150"/>
      <c r="AR21" s="134"/>
      <c r="AS21" s="135"/>
      <c r="AT21" s="151"/>
      <c r="AU21" s="152"/>
      <c r="AV21" s="153"/>
      <c r="AW21" s="151"/>
      <c r="AX21" s="152"/>
      <c r="AY21" s="152"/>
      <c r="AZ21" s="152"/>
      <c r="BA21" s="152"/>
      <c r="BB21" s="152"/>
    </row>
    <row r="22" spans="1:54" ht="21.6" customHeight="1">
      <c r="A22" s="24"/>
      <c r="B22" s="24"/>
      <c r="C22" s="24">
        <v>4</v>
      </c>
      <c r="D22" s="76" t="s">
        <v>83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6"/>
      <c r="R22" s="112" t="s">
        <v>91</v>
      </c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4"/>
      <c r="AM22" s="102"/>
      <c r="AN22" s="103"/>
      <c r="AO22" s="104"/>
      <c r="AP22" s="105"/>
      <c r="AQ22" s="106"/>
      <c r="AR22" s="102"/>
      <c r="AS22" s="103"/>
      <c r="AT22" s="107"/>
      <c r="AU22" s="108"/>
      <c r="AV22" s="109"/>
      <c r="AW22" s="107"/>
      <c r="AX22" s="108"/>
      <c r="AY22" s="108"/>
      <c r="AZ22" s="108"/>
      <c r="BA22" s="108"/>
      <c r="BB22" s="108"/>
    </row>
    <row r="23" spans="1:54" ht="21.6" customHeight="1">
      <c r="A23" s="24"/>
      <c r="B23" s="24"/>
      <c r="C23" s="24">
        <v>5</v>
      </c>
      <c r="D23" s="118" t="s">
        <v>51</v>
      </c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139" t="s">
        <v>52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1"/>
      <c r="AM23" s="134"/>
      <c r="AN23" s="135"/>
      <c r="AO23" s="148"/>
      <c r="AP23" s="149"/>
      <c r="AQ23" s="150"/>
      <c r="AR23" s="33"/>
      <c r="AS23" s="34"/>
      <c r="AT23" s="38"/>
      <c r="AU23" s="39"/>
      <c r="AV23" s="40"/>
      <c r="AW23" s="38"/>
      <c r="AX23" s="39"/>
      <c r="AY23" s="39"/>
      <c r="AZ23" s="39"/>
      <c r="BA23" s="39"/>
      <c r="BB23" s="39"/>
    </row>
    <row r="24" spans="1:54" s="20" customFormat="1" ht="21.75" customHeight="1">
      <c r="A24" s="24"/>
      <c r="B24" s="24">
        <v>4</v>
      </c>
      <c r="C24" s="69" t="s">
        <v>81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9"/>
      <c r="R24" s="142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4"/>
      <c r="AM24" s="100"/>
      <c r="AN24" s="101"/>
      <c r="AO24" s="145"/>
      <c r="AP24" s="146"/>
      <c r="AQ24" s="147"/>
      <c r="AR24" s="100"/>
      <c r="AS24" s="101"/>
      <c r="AT24" s="145"/>
      <c r="AU24" s="146"/>
      <c r="AV24" s="147"/>
      <c r="AW24" s="145"/>
      <c r="AX24" s="146"/>
      <c r="AY24" s="146"/>
      <c r="AZ24" s="146"/>
      <c r="BA24" s="146"/>
      <c r="BB24" s="146"/>
    </row>
    <row r="25" spans="1:54" s="20" customFormat="1" ht="21.75" customHeight="1">
      <c r="A25" s="24"/>
      <c r="B25" s="24"/>
      <c r="C25" s="69">
        <v>1</v>
      </c>
      <c r="D25" s="70" t="s">
        <v>50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9"/>
      <c r="R25" s="112" t="s">
        <v>85</v>
      </c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2"/>
      <c r="AM25" s="102"/>
      <c r="AN25" s="103"/>
      <c r="AO25" s="104"/>
      <c r="AP25" s="105"/>
      <c r="AQ25" s="106"/>
      <c r="AR25" s="71"/>
      <c r="AS25" s="72"/>
      <c r="AT25" s="73"/>
      <c r="AU25" s="74"/>
      <c r="AV25" s="75"/>
      <c r="AW25" s="73"/>
      <c r="AX25" s="74"/>
      <c r="AY25" s="74"/>
      <c r="AZ25" s="74"/>
      <c r="BA25" s="74"/>
      <c r="BB25" s="74"/>
    </row>
    <row r="26" spans="1:54" ht="21" customHeight="1">
      <c r="A26" s="24"/>
      <c r="B26" s="24"/>
      <c r="C26" s="24">
        <v>2</v>
      </c>
      <c r="D26" s="25" t="s">
        <v>16</v>
      </c>
      <c r="E26" s="25"/>
      <c r="F26" s="25"/>
      <c r="G26" s="25"/>
      <c r="H26" s="25"/>
      <c r="I26" s="25"/>
      <c r="J26" s="25"/>
      <c r="K26" s="23"/>
      <c r="L26" s="23"/>
      <c r="M26" s="23"/>
      <c r="N26" s="23"/>
      <c r="O26" s="23"/>
      <c r="P26" s="23"/>
      <c r="Q26" s="26"/>
      <c r="R26" s="139" t="s">
        <v>53</v>
      </c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1"/>
      <c r="AM26" s="134"/>
      <c r="AN26" s="135"/>
      <c r="AO26" s="148"/>
      <c r="AP26" s="149"/>
      <c r="AQ26" s="150"/>
      <c r="AR26" s="134"/>
      <c r="AS26" s="135"/>
      <c r="AT26" s="151"/>
      <c r="AU26" s="152"/>
      <c r="AV26" s="153"/>
      <c r="AW26" s="151"/>
      <c r="AX26" s="152"/>
      <c r="AY26" s="152"/>
      <c r="AZ26" s="152"/>
      <c r="BA26" s="152"/>
      <c r="BB26" s="152"/>
    </row>
    <row r="27" spans="1:54" ht="21.6" customHeight="1">
      <c r="A27" s="24"/>
      <c r="B27" s="24"/>
      <c r="C27" s="24">
        <v>3</v>
      </c>
      <c r="D27" s="25" t="s">
        <v>17</v>
      </c>
      <c r="E27" s="25"/>
      <c r="F27" s="25"/>
      <c r="G27" s="25"/>
      <c r="H27" s="25"/>
      <c r="I27" s="25"/>
      <c r="J27" s="25"/>
      <c r="K27" s="23"/>
      <c r="L27" s="23"/>
      <c r="M27" s="23"/>
      <c r="N27" s="23"/>
      <c r="O27" s="23"/>
      <c r="P27" s="23"/>
      <c r="Q27" s="26"/>
      <c r="R27" s="154" t="s">
        <v>18</v>
      </c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1"/>
      <c r="AM27" s="134"/>
      <c r="AN27" s="135"/>
      <c r="AO27" s="148"/>
      <c r="AP27" s="149"/>
      <c r="AQ27" s="150"/>
      <c r="AR27" s="134"/>
      <c r="AS27" s="135"/>
      <c r="AT27" s="151"/>
      <c r="AU27" s="152"/>
      <c r="AV27" s="153"/>
      <c r="AW27" s="151"/>
      <c r="AX27" s="152"/>
      <c r="AY27" s="152"/>
      <c r="AZ27" s="152"/>
      <c r="BA27" s="152"/>
      <c r="BB27" s="152"/>
    </row>
    <row r="28" spans="1:54" ht="21.6" customHeight="1">
      <c r="A28" s="24"/>
      <c r="B28" s="24"/>
      <c r="C28" s="24">
        <v>4</v>
      </c>
      <c r="D28" s="70" t="s">
        <v>51</v>
      </c>
      <c r="E28" s="25"/>
      <c r="F28" s="25"/>
      <c r="G28" s="25"/>
      <c r="H28" s="25"/>
      <c r="I28" s="25"/>
      <c r="J28" s="25"/>
      <c r="K28" s="23"/>
      <c r="L28" s="23"/>
      <c r="M28" s="23"/>
      <c r="N28" s="23"/>
      <c r="O28" s="23"/>
      <c r="P28" s="23"/>
      <c r="Q28" s="26"/>
      <c r="R28" s="139" t="s">
        <v>52</v>
      </c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1"/>
      <c r="AM28" s="134"/>
      <c r="AN28" s="135"/>
      <c r="AO28" s="158"/>
      <c r="AP28" s="159"/>
      <c r="AQ28" s="160"/>
      <c r="AR28" s="33"/>
      <c r="AS28" s="34"/>
      <c r="AT28" s="38"/>
      <c r="AU28" s="39"/>
      <c r="AV28" s="40"/>
      <c r="AW28" s="38"/>
      <c r="AX28" s="39"/>
      <c r="AY28" s="39"/>
      <c r="AZ28" s="39"/>
      <c r="BA28" s="39"/>
      <c r="BB28" s="39"/>
    </row>
    <row r="29" spans="1:54" s="20" customFormat="1" ht="21.75" customHeight="1">
      <c r="A29" s="24">
        <v>2</v>
      </c>
      <c r="B29" s="69" t="s">
        <v>54</v>
      </c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9"/>
      <c r="R29" s="142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4"/>
      <c r="AM29" s="100"/>
      <c r="AN29" s="101"/>
      <c r="AO29" s="145"/>
      <c r="AP29" s="146"/>
      <c r="AQ29" s="147"/>
      <c r="AR29" s="100"/>
      <c r="AS29" s="101"/>
      <c r="AT29" s="145"/>
      <c r="AU29" s="146"/>
      <c r="AV29" s="147"/>
      <c r="AW29" s="145"/>
      <c r="AX29" s="146"/>
      <c r="AY29" s="146"/>
      <c r="AZ29" s="146"/>
      <c r="BA29" s="146"/>
      <c r="BB29" s="146"/>
    </row>
    <row r="30" spans="1:54" s="20" customFormat="1" ht="21.75" customHeight="1">
      <c r="A30" s="24"/>
      <c r="B30" s="24">
        <v>1</v>
      </c>
      <c r="C30" s="76" t="s">
        <v>58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6"/>
      <c r="R30" s="142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4"/>
      <c r="AM30" s="100"/>
      <c r="AN30" s="101"/>
      <c r="AO30" s="145"/>
      <c r="AP30" s="146"/>
      <c r="AQ30" s="147"/>
      <c r="AR30" s="100"/>
      <c r="AS30" s="101"/>
      <c r="AT30" s="145"/>
      <c r="AU30" s="146"/>
      <c r="AV30" s="147"/>
      <c r="AW30" s="145"/>
      <c r="AX30" s="146"/>
      <c r="AY30" s="146"/>
      <c r="AZ30" s="146"/>
      <c r="BA30" s="146"/>
      <c r="BB30" s="146"/>
    </row>
    <row r="31" spans="1:54" s="20" customFormat="1" ht="33" customHeight="1">
      <c r="A31" s="24"/>
      <c r="B31" s="24"/>
      <c r="C31" s="23">
        <v>1</v>
      </c>
      <c r="D31" s="77" t="s">
        <v>56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6"/>
      <c r="R31" s="139" t="s">
        <v>73</v>
      </c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1"/>
      <c r="AM31" s="134"/>
      <c r="AN31" s="135"/>
      <c r="AO31" s="148"/>
      <c r="AP31" s="149"/>
      <c r="AQ31" s="150"/>
      <c r="AR31" s="134"/>
      <c r="AS31" s="135"/>
      <c r="AT31" s="151"/>
      <c r="AU31" s="152"/>
      <c r="AV31" s="153"/>
      <c r="AW31" s="151"/>
      <c r="AX31" s="152"/>
      <c r="AY31" s="152"/>
      <c r="AZ31" s="152"/>
      <c r="BA31" s="152"/>
      <c r="BB31" s="152"/>
    </row>
    <row r="32" spans="1:54" s="20" customFormat="1" ht="33" customHeight="1">
      <c r="A32" s="24"/>
      <c r="B32" s="24"/>
      <c r="C32" s="23">
        <v>2</v>
      </c>
      <c r="D32" s="77" t="s">
        <v>57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6"/>
      <c r="R32" s="139" t="s">
        <v>74</v>
      </c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1"/>
      <c r="AM32" s="134"/>
      <c r="AN32" s="135"/>
      <c r="AO32" s="148"/>
      <c r="AP32" s="149"/>
      <c r="AQ32" s="150"/>
      <c r="AR32" s="134"/>
      <c r="AS32" s="135"/>
      <c r="AT32" s="151"/>
      <c r="AU32" s="152"/>
      <c r="AV32" s="153"/>
      <c r="AW32" s="151"/>
      <c r="AX32" s="152"/>
      <c r="AY32" s="152"/>
      <c r="AZ32" s="152"/>
      <c r="BA32" s="152"/>
      <c r="BB32" s="152"/>
    </row>
    <row r="33" spans="1:54" s="20" customFormat="1" ht="21.75" customHeight="1">
      <c r="A33" s="24"/>
      <c r="B33" s="24"/>
      <c r="C33" s="23">
        <v>3</v>
      </c>
      <c r="D33" s="77" t="s">
        <v>63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6"/>
      <c r="R33" s="139" t="s">
        <v>76</v>
      </c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1"/>
      <c r="AM33" s="134"/>
      <c r="AN33" s="135"/>
      <c r="AO33" s="148"/>
      <c r="AP33" s="149"/>
      <c r="AQ33" s="150"/>
      <c r="AR33" s="134"/>
      <c r="AS33" s="135"/>
      <c r="AT33" s="151"/>
      <c r="AU33" s="152"/>
      <c r="AV33" s="153"/>
      <c r="AW33" s="151"/>
      <c r="AX33" s="152"/>
      <c r="AY33" s="152"/>
      <c r="AZ33" s="152"/>
      <c r="BA33" s="152"/>
      <c r="BB33" s="152"/>
    </row>
    <row r="34" spans="1:54" s="20" customFormat="1" ht="21.75" customHeight="1">
      <c r="A34" s="24"/>
      <c r="B34" s="24">
        <v>2</v>
      </c>
      <c r="C34" s="118" t="s">
        <v>62</v>
      </c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155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7"/>
      <c r="AM34" s="100"/>
      <c r="AN34" s="101"/>
      <c r="AO34" s="81"/>
      <c r="AP34" s="82"/>
      <c r="AQ34" s="83"/>
      <c r="AR34" s="31"/>
      <c r="AS34" s="32"/>
      <c r="AT34" s="35"/>
      <c r="AU34" s="36"/>
      <c r="AV34" s="37"/>
      <c r="AW34" s="35"/>
      <c r="AX34" s="36"/>
      <c r="AY34" s="36"/>
      <c r="AZ34" s="36"/>
      <c r="BA34" s="36"/>
      <c r="BB34" s="36"/>
    </row>
    <row r="35" spans="1:54" s="20" customFormat="1" ht="33" customHeight="1">
      <c r="A35" s="24"/>
      <c r="B35" s="24"/>
      <c r="C35" s="23">
        <v>1</v>
      </c>
      <c r="D35" s="77" t="s">
        <v>61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6"/>
      <c r="R35" s="139" t="s">
        <v>75</v>
      </c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1"/>
      <c r="AM35" s="134"/>
      <c r="AN35" s="135"/>
      <c r="AO35" s="148"/>
      <c r="AP35" s="149"/>
      <c r="AQ35" s="150"/>
      <c r="AR35" s="134"/>
      <c r="AS35" s="135"/>
      <c r="AT35" s="151"/>
      <c r="AU35" s="152"/>
      <c r="AV35" s="153"/>
      <c r="AW35" s="151"/>
      <c r="AX35" s="152"/>
      <c r="AY35" s="152"/>
      <c r="AZ35" s="152"/>
      <c r="BA35" s="152"/>
      <c r="BB35" s="152"/>
    </row>
    <row r="36" spans="1:54" s="20" customFormat="1" ht="21.75" customHeight="1">
      <c r="A36" s="24"/>
      <c r="B36" s="24"/>
      <c r="C36" s="23">
        <v>2</v>
      </c>
      <c r="D36" s="77" t="s">
        <v>66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6"/>
      <c r="R36" s="139" t="s">
        <v>77</v>
      </c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1"/>
      <c r="AM36" s="134"/>
      <c r="AN36" s="135"/>
      <c r="AO36" s="148"/>
      <c r="AP36" s="149"/>
      <c r="AQ36" s="150"/>
      <c r="AR36" s="134"/>
      <c r="AS36" s="135"/>
      <c r="AT36" s="151"/>
      <c r="AU36" s="152"/>
      <c r="AV36" s="153"/>
      <c r="AW36" s="151"/>
      <c r="AX36" s="152"/>
      <c r="AY36" s="152"/>
      <c r="AZ36" s="152"/>
      <c r="BA36" s="152"/>
      <c r="BB36" s="152"/>
    </row>
    <row r="37" spans="1:54" s="20" customFormat="1" ht="21.75" customHeight="1">
      <c r="A37" s="24"/>
      <c r="B37" s="24">
        <v>3</v>
      </c>
      <c r="C37" s="69" t="s">
        <v>67</v>
      </c>
      <c r="D37" s="41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9"/>
      <c r="R37" s="27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30"/>
      <c r="AM37" s="100"/>
      <c r="AN37" s="101"/>
      <c r="AO37" s="145"/>
      <c r="AP37" s="146"/>
      <c r="AQ37" s="147"/>
      <c r="AR37" s="100"/>
      <c r="AS37" s="101"/>
      <c r="AT37" s="145"/>
      <c r="AU37" s="146"/>
      <c r="AV37" s="147"/>
      <c r="AW37" s="145"/>
      <c r="AX37" s="146"/>
      <c r="AY37" s="146"/>
      <c r="AZ37" s="146"/>
      <c r="BA37" s="146"/>
      <c r="BB37" s="146"/>
    </row>
    <row r="38" spans="1:54" s="20" customFormat="1" ht="30.6" customHeight="1">
      <c r="A38" s="24"/>
      <c r="B38" s="24"/>
      <c r="C38" s="41">
        <v>1</v>
      </c>
      <c r="D38" s="70" t="s">
        <v>56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9"/>
      <c r="R38" s="112" t="s">
        <v>68</v>
      </c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02"/>
      <c r="AN38" s="103"/>
      <c r="AO38" s="104"/>
      <c r="AP38" s="105"/>
      <c r="AQ38" s="106"/>
      <c r="AR38" s="71"/>
      <c r="AS38" s="72"/>
      <c r="AT38" s="73"/>
      <c r="AU38" s="74"/>
      <c r="AV38" s="75"/>
      <c r="AW38" s="73"/>
      <c r="AX38" s="74"/>
      <c r="AY38" s="74"/>
      <c r="AZ38" s="74"/>
      <c r="BA38" s="74"/>
      <c r="BB38" s="74"/>
    </row>
    <row r="39" spans="1:54" s="20" customFormat="1" ht="30.6" customHeight="1">
      <c r="A39" s="24"/>
      <c r="B39" s="24"/>
      <c r="C39" s="41">
        <v>2</v>
      </c>
      <c r="D39" s="70" t="s">
        <v>69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9"/>
      <c r="R39" s="112" t="s">
        <v>68</v>
      </c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4"/>
      <c r="AM39" s="102"/>
      <c r="AN39" s="103"/>
      <c r="AO39" s="104"/>
      <c r="AP39" s="105"/>
      <c r="AQ39" s="106"/>
      <c r="AR39" s="71"/>
      <c r="AS39" s="72"/>
      <c r="AT39" s="73"/>
      <c r="AU39" s="74"/>
      <c r="AV39" s="75"/>
      <c r="AW39" s="73"/>
      <c r="AX39" s="74"/>
      <c r="AY39" s="74"/>
      <c r="AZ39" s="74"/>
      <c r="BA39" s="74"/>
      <c r="BB39" s="74"/>
    </row>
    <row r="40" spans="1:54" s="20" customFormat="1" ht="30" customHeight="1">
      <c r="A40" s="24"/>
      <c r="B40" s="24"/>
      <c r="C40" s="41">
        <v>3</v>
      </c>
      <c r="D40" s="70" t="s">
        <v>70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9"/>
      <c r="R40" s="112" t="s">
        <v>68</v>
      </c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4"/>
      <c r="AM40" s="102"/>
      <c r="AN40" s="103"/>
      <c r="AO40" s="104"/>
      <c r="AP40" s="105"/>
      <c r="AQ40" s="106"/>
      <c r="AR40" s="71"/>
      <c r="AS40" s="72"/>
      <c r="AT40" s="73"/>
      <c r="AU40" s="74"/>
      <c r="AV40" s="75"/>
      <c r="AW40" s="73"/>
      <c r="AX40" s="74"/>
      <c r="AY40" s="74"/>
      <c r="AZ40" s="74"/>
      <c r="BA40" s="74"/>
      <c r="BB40" s="74"/>
    </row>
    <row r="41" spans="1:54" s="20" customFormat="1" ht="21.75" customHeight="1">
      <c r="A41" s="24"/>
      <c r="B41" s="24"/>
      <c r="C41" s="41">
        <v>4</v>
      </c>
      <c r="D41" s="70" t="s">
        <v>71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9"/>
      <c r="R41" s="112" t="s">
        <v>72</v>
      </c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4"/>
      <c r="AM41" s="102"/>
      <c r="AN41" s="103"/>
      <c r="AO41" s="104"/>
      <c r="AP41" s="105"/>
      <c r="AQ41" s="106"/>
      <c r="AR41" s="71"/>
      <c r="AS41" s="72"/>
      <c r="AT41" s="73"/>
      <c r="AU41" s="74"/>
      <c r="AV41" s="75"/>
      <c r="AW41" s="73"/>
      <c r="AX41" s="74"/>
      <c r="AY41" s="74"/>
      <c r="AZ41" s="74"/>
      <c r="BA41" s="74"/>
      <c r="BB41" s="74"/>
    </row>
    <row r="42" spans="1:54" s="20" customFormat="1" ht="21.75" customHeight="1">
      <c r="A42" s="24"/>
      <c r="B42" s="24">
        <v>4</v>
      </c>
      <c r="C42" s="115" t="s">
        <v>86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4"/>
      <c r="R42" s="78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80"/>
      <c r="AM42" s="100"/>
      <c r="AN42" s="101"/>
      <c r="AO42" s="81"/>
      <c r="AP42" s="82"/>
      <c r="AQ42" s="83"/>
      <c r="AR42" s="31"/>
      <c r="AS42" s="32"/>
      <c r="AT42" s="35"/>
      <c r="AU42" s="36"/>
      <c r="AV42" s="37"/>
      <c r="AW42" s="35"/>
      <c r="AX42" s="36"/>
      <c r="AY42" s="36"/>
      <c r="AZ42" s="36"/>
      <c r="BA42" s="36"/>
      <c r="BB42" s="36"/>
    </row>
    <row r="43" spans="1:54" s="20" customFormat="1" ht="21.75" customHeight="1">
      <c r="A43" s="24"/>
      <c r="B43" s="24"/>
      <c r="C43" s="41">
        <v>1</v>
      </c>
      <c r="D43" s="70" t="s">
        <v>87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9"/>
      <c r="R43" s="112" t="s">
        <v>91</v>
      </c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4"/>
      <c r="AM43" s="102"/>
      <c r="AN43" s="103"/>
      <c r="AO43" s="104"/>
      <c r="AP43" s="105"/>
      <c r="AQ43" s="106"/>
      <c r="AR43" s="71"/>
      <c r="AS43" s="72"/>
      <c r="AT43" s="73"/>
      <c r="AU43" s="74"/>
      <c r="AV43" s="75"/>
      <c r="AW43" s="73"/>
      <c r="AX43" s="74"/>
      <c r="AY43" s="74"/>
      <c r="AZ43" s="74"/>
      <c r="BA43" s="74"/>
      <c r="BB43" s="74"/>
    </row>
    <row r="44" spans="1:54" s="20" customFormat="1" ht="21.75" customHeight="1">
      <c r="A44" s="24"/>
      <c r="B44" s="24"/>
      <c r="C44" s="41">
        <v>2</v>
      </c>
      <c r="D44" s="115" t="s">
        <v>88</v>
      </c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7"/>
      <c r="R44" s="112" t="s">
        <v>91</v>
      </c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4"/>
      <c r="AM44" s="102"/>
      <c r="AN44" s="103"/>
      <c r="AO44" s="85"/>
      <c r="AP44" s="86"/>
      <c r="AQ44" s="87"/>
      <c r="AR44" s="71"/>
      <c r="AS44" s="72"/>
      <c r="AT44" s="73"/>
      <c r="AU44" s="74"/>
      <c r="AV44" s="75"/>
      <c r="AW44" s="73"/>
      <c r="AX44" s="74"/>
      <c r="AY44" s="74"/>
      <c r="AZ44" s="74"/>
      <c r="BA44" s="74"/>
      <c r="BB44" s="74"/>
    </row>
    <row r="45" spans="1:54" s="20" customFormat="1" ht="21" customHeight="1">
      <c r="A45" s="24"/>
      <c r="B45" s="24"/>
      <c r="C45" s="41">
        <v>3</v>
      </c>
      <c r="D45" s="115" t="s">
        <v>92</v>
      </c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7"/>
      <c r="R45" s="112" t="s">
        <v>91</v>
      </c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4"/>
      <c r="AM45" s="110"/>
      <c r="AN45" s="111"/>
      <c r="AO45" s="85"/>
      <c r="AP45" s="86"/>
      <c r="AQ45" s="87"/>
      <c r="AR45" s="71"/>
      <c r="AS45" s="72"/>
      <c r="AT45" s="73"/>
      <c r="AU45" s="74"/>
      <c r="AV45" s="75"/>
      <c r="AW45" s="73"/>
      <c r="AX45" s="74"/>
      <c r="AY45" s="74"/>
      <c r="AZ45" s="74"/>
      <c r="BA45" s="74"/>
      <c r="BB45" s="74"/>
    </row>
    <row r="46" spans="1:54" s="20" customFormat="1" ht="54.6" customHeight="1">
      <c r="A46" s="24"/>
      <c r="B46" s="24"/>
      <c r="C46" s="41">
        <v>4</v>
      </c>
      <c r="D46" s="115" t="s">
        <v>54</v>
      </c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7"/>
      <c r="R46" s="112" t="s">
        <v>93</v>
      </c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4"/>
      <c r="AM46" s="102"/>
      <c r="AN46" s="103"/>
      <c r="AO46" s="85"/>
      <c r="AP46" s="86"/>
      <c r="AQ46" s="87"/>
      <c r="AR46" s="71"/>
      <c r="AS46" s="72"/>
      <c r="AT46" s="73"/>
      <c r="AU46" s="74"/>
      <c r="AV46" s="75"/>
      <c r="AW46" s="73"/>
      <c r="AX46" s="74"/>
      <c r="AY46" s="74"/>
      <c r="AZ46" s="74"/>
      <c r="BA46" s="74"/>
      <c r="BB46" s="74"/>
    </row>
    <row r="47" spans="1:54" s="20" customFormat="1" ht="21.75" customHeight="1">
      <c r="A47" s="24"/>
      <c r="B47" s="24"/>
      <c r="C47" s="41">
        <v>5</v>
      </c>
      <c r="D47" s="70" t="s">
        <v>89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9"/>
      <c r="R47" s="112" t="s">
        <v>90</v>
      </c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02"/>
      <c r="AN47" s="103"/>
      <c r="AO47" s="85"/>
      <c r="AP47" s="86"/>
      <c r="AQ47" s="87"/>
      <c r="AR47" s="71"/>
      <c r="AS47" s="72"/>
      <c r="AT47" s="73"/>
      <c r="AU47" s="74"/>
      <c r="AV47" s="75"/>
      <c r="AW47" s="73"/>
      <c r="AX47" s="74"/>
      <c r="AY47" s="74"/>
      <c r="AZ47" s="74"/>
      <c r="BA47" s="74"/>
      <c r="BB47" s="74"/>
    </row>
    <row r="48" spans="1:54" s="20" customFormat="1" ht="21.75" customHeight="1">
      <c r="A48" s="24">
        <v>3</v>
      </c>
      <c r="B48" s="115" t="s">
        <v>55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6"/>
      <c r="R48" s="112" t="s">
        <v>84</v>
      </c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02"/>
      <c r="AN48" s="103"/>
      <c r="AO48" s="104"/>
      <c r="AP48" s="105"/>
      <c r="AQ48" s="106"/>
      <c r="AR48" s="71"/>
      <c r="AS48" s="72"/>
      <c r="AT48" s="73"/>
      <c r="AU48" s="74"/>
      <c r="AV48" s="75"/>
      <c r="AW48" s="73"/>
      <c r="AX48" s="74"/>
      <c r="AY48" s="74"/>
      <c r="AZ48" s="74"/>
      <c r="BA48" s="74"/>
      <c r="BB48" s="74"/>
    </row>
  </sheetData>
  <mergeCells count="224">
    <mergeCell ref="AR24:AS24"/>
    <mergeCell ref="AT24:AV24"/>
    <mergeCell ref="AW24:BB24"/>
    <mergeCell ref="R26:AL26"/>
    <mergeCell ref="AM26:AN26"/>
    <mergeCell ref="R46:AL46"/>
    <mergeCell ref="R47:AL47"/>
    <mergeCell ref="B48:Q48"/>
    <mergeCell ref="R48:AL48"/>
    <mergeCell ref="AM41:AN41"/>
    <mergeCell ref="AM43:AN43"/>
    <mergeCell ref="AM48:AN48"/>
    <mergeCell ref="AO39:AQ39"/>
    <mergeCell ref="AO40:AQ40"/>
    <mergeCell ref="AO41:AQ41"/>
    <mergeCell ref="AO43:AQ43"/>
    <mergeCell ref="AO48:AQ48"/>
    <mergeCell ref="AW6:BB6"/>
    <mergeCell ref="R38:AL38"/>
    <mergeCell ref="AM38:AN38"/>
    <mergeCell ref="AO38:AQ38"/>
    <mergeCell ref="R39:AL39"/>
    <mergeCell ref="AM39:AN39"/>
    <mergeCell ref="R41:AL41"/>
    <mergeCell ref="C42:Q42"/>
    <mergeCell ref="R43:AL43"/>
    <mergeCell ref="R11:AL11"/>
    <mergeCell ref="AM11:AN11"/>
    <mergeCell ref="AO11:AQ11"/>
    <mergeCell ref="AR11:AS11"/>
    <mergeCell ref="AT11:AV11"/>
    <mergeCell ref="AW11:BB11"/>
    <mergeCell ref="R16:AL16"/>
    <mergeCell ref="AM16:AN16"/>
    <mergeCell ref="AO16:AQ16"/>
    <mergeCell ref="AR22:AS22"/>
    <mergeCell ref="AT22:AV22"/>
    <mergeCell ref="AW22:BB22"/>
    <mergeCell ref="R24:AL24"/>
    <mergeCell ref="AM24:AN24"/>
    <mergeCell ref="AO24:AQ24"/>
    <mergeCell ref="AM4:AQ4"/>
    <mergeCell ref="AR4:AV4"/>
    <mergeCell ref="AM5:AN5"/>
    <mergeCell ref="AO5:AQ5"/>
    <mergeCell ref="AR5:AS5"/>
    <mergeCell ref="AT5:AV5"/>
    <mergeCell ref="R6:AL6"/>
    <mergeCell ref="AM6:AN6"/>
    <mergeCell ref="AO6:AQ6"/>
    <mergeCell ref="AR6:AS6"/>
    <mergeCell ref="AT6:AV6"/>
    <mergeCell ref="AH1:BB1"/>
    <mergeCell ref="AH2:AL2"/>
    <mergeCell ref="AM2:AQ2"/>
    <mergeCell ref="AR2:AV2"/>
    <mergeCell ref="AW2:BB2"/>
    <mergeCell ref="AH3:AL3"/>
    <mergeCell ref="AM3:AQ3"/>
    <mergeCell ref="AR3:AV3"/>
    <mergeCell ref="AW3:BB3"/>
    <mergeCell ref="AO10:AQ10"/>
    <mergeCell ref="R7:AL7"/>
    <mergeCell ref="AM7:AN7"/>
    <mergeCell ref="AO7:AQ7"/>
    <mergeCell ref="AR7:AS7"/>
    <mergeCell ref="AT7:AV7"/>
    <mergeCell ref="AW7:BB7"/>
    <mergeCell ref="R8:AL8"/>
    <mergeCell ref="AM8:AN8"/>
    <mergeCell ref="AO8:AQ8"/>
    <mergeCell ref="AR8:AS8"/>
    <mergeCell ref="AT8:AV8"/>
    <mergeCell ref="AW8:BB8"/>
    <mergeCell ref="R9:AL9"/>
    <mergeCell ref="AM9:AN9"/>
    <mergeCell ref="AO9:AQ9"/>
    <mergeCell ref="AR9:AS9"/>
    <mergeCell ref="AT9:AV9"/>
    <mergeCell ref="AW9:BB9"/>
    <mergeCell ref="R14:AL14"/>
    <mergeCell ref="AM14:AN14"/>
    <mergeCell ref="AO14:AQ14"/>
    <mergeCell ref="AR14:AS14"/>
    <mergeCell ref="AT14:AV14"/>
    <mergeCell ref="AW14:BB14"/>
    <mergeCell ref="AR16:AS16"/>
    <mergeCell ref="AT16:AV16"/>
    <mergeCell ref="AW16:BB16"/>
    <mergeCell ref="AR26:AS26"/>
    <mergeCell ref="AT26:AV26"/>
    <mergeCell ref="AW26:BB26"/>
    <mergeCell ref="R27:AL27"/>
    <mergeCell ref="AM27:AN27"/>
    <mergeCell ref="AO27:AQ27"/>
    <mergeCell ref="AR27:AS27"/>
    <mergeCell ref="AT27:AV27"/>
    <mergeCell ref="AW27:BB27"/>
    <mergeCell ref="AR31:AS31"/>
    <mergeCell ref="AT31:AV31"/>
    <mergeCell ref="AW31:BB31"/>
    <mergeCell ref="AR29:AS29"/>
    <mergeCell ref="AT29:AV29"/>
    <mergeCell ref="AW29:BB29"/>
    <mergeCell ref="R30:AL30"/>
    <mergeCell ref="AM30:AN30"/>
    <mergeCell ref="AO30:AQ30"/>
    <mergeCell ref="AR30:AS30"/>
    <mergeCell ref="AT30:AV30"/>
    <mergeCell ref="AW30:BB30"/>
    <mergeCell ref="AR32:AS32"/>
    <mergeCell ref="AT32:AV32"/>
    <mergeCell ref="AW32:BB32"/>
    <mergeCell ref="AM33:AN33"/>
    <mergeCell ref="AO33:AQ33"/>
    <mergeCell ref="AR33:AS33"/>
    <mergeCell ref="AT33:AV33"/>
    <mergeCell ref="AW33:BB33"/>
    <mergeCell ref="AM35:AN35"/>
    <mergeCell ref="AO35:AQ35"/>
    <mergeCell ref="AR35:AS35"/>
    <mergeCell ref="AT35:AV35"/>
    <mergeCell ref="AW35:BB35"/>
    <mergeCell ref="AM32:AN32"/>
    <mergeCell ref="AO32:AQ32"/>
    <mergeCell ref="R28:AL28"/>
    <mergeCell ref="AM28:AN28"/>
    <mergeCell ref="AO28:AQ28"/>
    <mergeCell ref="R32:AL32"/>
    <mergeCell ref="R22:AL22"/>
    <mergeCell ref="AM22:AN22"/>
    <mergeCell ref="AO22:AQ22"/>
    <mergeCell ref="R25:AL25"/>
    <mergeCell ref="AM25:AN25"/>
    <mergeCell ref="AO25:AQ25"/>
    <mergeCell ref="AO26:AQ26"/>
    <mergeCell ref="R33:AL33"/>
    <mergeCell ref="R35:AL35"/>
    <mergeCell ref="R29:AL29"/>
    <mergeCell ref="AM29:AN29"/>
    <mergeCell ref="AO29:AQ29"/>
    <mergeCell ref="R31:AL31"/>
    <mergeCell ref="AM31:AN31"/>
    <mergeCell ref="AO31:AQ31"/>
    <mergeCell ref="R34:AL34"/>
    <mergeCell ref="R15:AL15"/>
    <mergeCell ref="AM15:AN15"/>
    <mergeCell ref="AO15:AQ15"/>
    <mergeCell ref="AR15:AS15"/>
    <mergeCell ref="AT15:AV15"/>
    <mergeCell ref="AW15:BB15"/>
    <mergeCell ref="R18:AL18"/>
    <mergeCell ref="AM18:AN18"/>
    <mergeCell ref="AO18:AQ18"/>
    <mergeCell ref="AR18:AS18"/>
    <mergeCell ref="AT18:AV18"/>
    <mergeCell ref="AW18:BB18"/>
    <mergeCell ref="D23:Q23"/>
    <mergeCell ref="R23:AL23"/>
    <mergeCell ref="AM17:AN17"/>
    <mergeCell ref="AM23:AN23"/>
    <mergeCell ref="AO17:AQ17"/>
    <mergeCell ref="AO23:AQ23"/>
    <mergeCell ref="AR21:AS21"/>
    <mergeCell ref="AT21:AV21"/>
    <mergeCell ref="AW21:BB21"/>
    <mergeCell ref="R21:AL21"/>
    <mergeCell ref="AM21:AN21"/>
    <mergeCell ref="AO21:AQ21"/>
    <mergeCell ref="R20:AL20"/>
    <mergeCell ref="AM20:AN20"/>
    <mergeCell ref="AO20:AQ20"/>
    <mergeCell ref="AR20:AS20"/>
    <mergeCell ref="AT20:AV20"/>
    <mergeCell ref="AW20:BB20"/>
    <mergeCell ref="D4:Q5"/>
    <mergeCell ref="R4:AL5"/>
    <mergeCell ref="A4:C5"/>
    <mergeCell ref="A1:O3"/>
    <mergeCell ref="P1:AG3"/>
    <mergeCell ref="AW4:BB5"/>
    <mergeCell ref="AM10:AN10"/>
    <mergeCell ref="R19:AL19"/>
    <mergeCell ref="AM19:AN19"/>
    <mergeCell ref="AO19:AQ19"/>
    <mergeCell ref="R17:AL17"/>
    <mergeCell ref="R10:AL10"/>
    <mergeCell ref="R12:AL12"/>
    <mergeCell ref="AM12:AN12"/>
    <mergeCell ref="AO12:AQ12"/>
    <mergeCell ref="AR12:AS12"/>
    <mergeCell ref="AT12:AV12"/>
    <mergeCell ref="AW12:BB12"/>
    <mergeCell ref="R13:AL13"/>
    <mergeCell ref="AM13:AN13"/>
    <mergeCell ref="AO13:AQ13"/>
    <mergeCell ref="AR13:AS13"/>
    <mergeCell ref="AT13:AV13"/>
    <mergeCell ref="AW13:BB13"/>
    <mergeCell ref="R44:AL44"/>
    <mergeCell ref="R45:AL45"/>
    <mergeCell ref="D46:Q46"/>
    <mergeCell ref="D44:Q44"/>
    <mergeCell ref="D45:Q45"/>
    <mergeCell ref="C34:Q34"/>
    <mergeCell ref="R40:AL40"/>
    <mergeCell ref="AM40:AN40"/>
    <mergeCell ref="R36:AL36"/>
    <mergeCell ref="AM36:AN36"/>
    <mergeCell ref="AM37:AN37"/>
    <mergeCell ref="AM42:AN42"/>
    <mergeCell ref="AM34:AN34"/>
    <mergeCell ref="AM47:AN47"/>
    <mergeCell ref="AM45:AN45"/>
    <mergeCell ref="AM44:AN44"/>
    <mergeCell ref="AM46:AN46"/>
    <mergeCell ref="AO36:AQ36"/>
    <mergeCell ref="AR36:AS36"/>
    <mergeCell ref="AT36:AV36"/>
    <mergeCell ref="AW36:BB36"/>
    <mergeCell ref="AO37:AQ37"/>
    <mergeCell ref="AR37:AS37"/>
    <mergeCell ref="AT37:AV37"/>
    <mergeCell ref="AW37:BB37"/>
  </mergeCells>
  <phoneticPr fontId="23" type="noConversion"/>
  <conditionalFormatting sqref="R6:AM7 R26:AM27 R28 AM28 AM31:AM44 AO6:AO27 AT12:AT48 AW12:AW48 AO29:AO48 R38:R48 AM46:AM48">
    <cfRule type="expression" dxfId="19" priority="1286" stopIfTrue="1">
      <formula>AND(OR(NOT(ISBLANK(#REF!)),NOT(ISBLANK(#REF!)),NOT(ISBLANK(#REF!)),NOT(ISBLANK(#REF!)),NOT(ISBLANK(#REF!))),ISBLANK(#REF!))</formula>
    </cfRule>
  </conditionalFormatting>
  <conditionalFormatting sqref="R8:AM10 R11 AT11 AW11">
    <cfRule type="expression" dxfId="18" priority="1298" stopIfTrue="1">
      <formula>AND(OR(NOT(ISBLANK(#REF!)),NOT(ISBLANK(#REF!)),NOT(ISBLANK(#REF!)),NOT(ISBLANK(#REF!)),NOT(ISBLANK(#REF!))),ISBLANK(#REF!))</formula>
    </cfRule>
  </conditionalFormatting>
  <conditionalFormatting sqref="R8:AM10 AO6:AO27 AM31:AM44 AR12:AR13 R29:AM30 R11 AT11:AT48 AW11:AW48 AO29:AO48 R38:R48 AM46:AM48">
    <cfRule type="expression" dxfId="17" priority="1297" stopIfTrue="1">
      <formula>ISBLANK(#REF!)</formula>
    </cfRule>
  </conditionalFormatting>
  <conditionalFormatting sqref="R12:AM15 R16:R17 R18:AM18 R19 AM19:AM23 R20:AM21 R22:R23 R24:AM24 R25 AM25:AM28">
    <cfRule type="expression" dxfId="16" priority="11" stopIfTrue="1">
      <formula>ISBLANK(#REF!)</formula>
    </cfRule>
  </conditionalFormatting>
  <conditionalFormatting sqref="R12:AM15 AM14:AM17 R16:R17 R18:AM18 R19 AM19:AM23 R20:AM21 R22:R23 R24:AM24 R25 AM25:AM28">
    <cfRule type="expression" dxfId="15" priority="12" stopIfTrue="1">
      <formula>AND(OR(NOT(ISBLANK(#REF!)),NOT(ISBLANK(#REF!)),NOT(ISBLANK(#REF!)),NOT(ISBLANK(#REF!)),NOT(ISBLANK(#REF!))),ISBLANK(#REF!))</formula>
    </cfRule>
  </conditionalFormatting>
  <conditionalFormatting sqref="R26:AM27 AM28 R6:AM7 R28">
    <cfRule type="expression" dxfId="14" priority="1285" stopIfTrue="1">
      <formula>ISBLANK(#REF!)</formula>
    </cfRule>
  </conditionalFormatting>
  <conditionalFormatting sqref="R29:AM33 R34">
    <cfRule type="expression" dxfId="13" priority="597" stopIfTrue="1">
      <formula>AND(OR(NOT(ISBLANK(#REF!)),NOT(ISBLANK(#REF!)),NOT(ISBLANK(#REF!)),NOT(ISBLANK(#REF!)),NOT(ISBLANK(#REF!))),ISBLANK(#REF!))</formula>
    </cfRule>
  </conditionalFormatting>
  <conditionalFormatting sqref="R31:AM33 R34 AM34">
    <cfRule type="expression" dxfId="12" priority="589" stopIfTrue="1">
      <formula>ISBLANK(#REF!)</formula>
    </cfRule>
  </conditionalFormatting>
  <conditionalFormatting sqref="AM8:AM11 AR13:AR48">
    <cfRule type="expression" dxfId="11" priority="1295" stopIfTrue="1">
      <formula>ISBLANK(#REF!)</formula>
    </cfRule>
    <cfRule type="expression" dxfId="10" priority="1296" stopIfTrue="1">
      <formula>AND(OR(NOT(ISBLANK(#REF!)),NOT(ISBLANK(#REF!)),NOT(ISBLANK(#REF!)),NOT(ISBLANK(#REF!)),NOT(ISBLANK(#REF!))),ISBLANK(#REF!))</formula>
    </cfRule>
  </conditionalFormatting>
  <conditionalFormatting sqref="AM13">
    <cfRule type="expression" dxfId="9" priority="10" stopIfTrue="1">
      <formula>AND(OR(NOT(ISBLANK(#REF!)),NOT(ISBLANK(#REF!)),NOT(ISBLANK(#REF!)),NOT(ISBLANK(#REF!)),NOT(ISBLANK(#REF!))),ISBLANK(#REF!))</formula>
    </cfRule>
  </conditionalFormatting>
  <conditionalFormatting sqref="AM13:AM17">
    <cfRule type="expression" dxfId="8" priority="9" stopIfTrue="1">
      <formula>ISBLANK(#REF!)</formula>
    </cfRule>
  </conditionalFormatting>
  <conditionalFormatting sqref="AR6:AR11">
    <cfRule type="expression" dxfId="7" priority="1215" stopIfTrue="1">
      <formula>ISBLANK(#REF!)</formula>
    </cfRule>
  </conditionalFormatting>
  <conditionalFormatting sqref="AR6:AR13">
    <cfRule type="expression" dxfId="6" priority="1216" stopIfTrue="1">
      <formula>AND(OR(NOT(ISBLANK(#REF!)),NOT(ISBLANK(#REF!)),NOT(ISBLANK(#REF!)),NOT(ISBLANK(#REF!)),NOT(ISBLANK(#REF!))),ISBLANK(#REF!))</formula>
    </cfRule>
  </conditionalFormatting>
  <conditionalFormatting sqref="AR8:AR10">
    <cfRule type="expression" dxfId="5" priority="6" stopIfTrue="1">
      <formula>ISBLANK(#REF!)</formula>
    </cfRule>
    <cfRule type="expression" dxfId="4" priority="7" stopIfTrue="1">
      <formula>AND(OR(NOT(ISBLANK(#REF!)),NOT(ISBLANK(#REF!)),NOT(ISBLANK(#REF!)),NOT(ISBLANK(#REF!)),NOT(ISBLANK(#REF!))),ISBLANK(#REF!))</formula>
    </cfRule>
  </conditionalFormatting>
  <conditionalFormatting sqref="AR26:AR28">
    <cfRule type="expression" dxfId="3" priority="1133" stopIfTrue="1">
      <formula>ISBLANK(#REF!)</formula>
    </cfRule>
  </conditionalFormatting>
  <conditionalFormatting sqref="AT6:AT10 R35:AM36 R37:AL37 AW6:AW10">
    <cfRule type="expression" dxfId="2" priority="661" stopIfTrue="1">
      <formula>ISBLANK(#REF!)</formula>
    </cfRule>
  </conditionalFormatting>
  <conditionalFormatting sqref="AT6:AT10 R35:AM36 R37:AL37">
    <cfRule type="expression" dxfId="1" priority="660" stopIfTrue="1">
      <formula>AND(OR(NOT(ISBLANK(#REF!)),NOT(ISBLANK(#REF!)),NOT(ISBLANK(#REF!)),NOT(ISBLANK(#REF!)),NOT(ISBLANK(#REF!))),ISBLANK(#REF!))</formula>
    </cfRule>
  </conditionalFormatting>
  <conditionalFormatting sqref="AW6:AW10">
    <cfRule type="expression" dxfId="0" priority="8" stopIfTrue="1">
      <formula>AND(OR(NOT(ISBLANK(#REF!)),NOT(ISBLANK(#REF!)),NOT(ISBLANK(#REF!)),NOT(ISBLANK(#REF!)),NOT(ISBLANK(#REF!))),ISBLANK(#REF!))</formula>
    </cfRule>
  </conditionalFormatting>
  <dataValidations count="1">
    <dataValidation type="list" allowBlank="1" showInputMessage="1" showErrorMessage="1" sqref="AR6:AR10 AM6:AM10 AM12:AM44 AM46:AM48 AR12:AR48" xr:uid="{00000000-0002-0000-0100-000000000000}">
      <formula1>"○,×,－"</formula1>
    </dataValidation>
  </dataValidations>
  <pageMargins left="0.7" right="0.7" top="0.75" bottom="0.75" header="0.3" footer="0.3"/>
  <pageSetup paperSize="9"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81"/>
  <sheetViews>
    <sheetView showGridLines="0" view="pageBreakPreview" topLeftCell="D200" zoomScale="160" zoomScaleNormal="70" zoomScaleSheetLayoutView="160" workbookViewId="0">
      <selection activeCell="BL76" sqref="BL76"/>
    </sheetView>
  </sheetViews>
  <sheetFormatPr defaultColWidth="2.6640625" defaultRowHeight="14.4"/>
  <cols>
    <col min="1" max="1" width="2.6640625" style="4"/>
    <col min="2" max="2" width="2.6640625" style="5"/>
    <col min="3" max="3" width="4.109375" style="5" customWidth="1"/>
    <col min="4" max="16384" width="2.6640625" style="5"/>
  </cols>
  <sheetData>
    <row r="1" spans="1:53" ht="16.5" customHeight="1">
      <c r="A1" s="182" t="str">
        <f>[1]表紙!M24</f>
        <v>取引先管理システム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 t="str">
        <f>"＜　"&amp;[1]表紙!M13&amp;"　＞"</f>
        <v>＜　単体試験仕様書　＞</v>
      </c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3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5"/>
    </row>
    <row r="2" spans="1:53" ht="15" customHeight="1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77" t="s">
        <v>3</v>
      </c>
      <c r="AI2" s="177"/>
      <c r="AJ2" s="177"/>
      <c r="AK2" s="177"/>
      <c r="AL2" s="177"/>
      <c r="AM2" s="178"/>
      <c r="AN2" s="178"/>
      <c r="AO2" s="178"/>
      <c r="AP2" s="178"/>
      <c r="AQ2" s="178"/>
      <c r="AR2" s="177" t="s">
        <v>4</v>
      </c>
      <c r="AS2" s="177"/>
      <c r="AT2" s="177"/>
      <c r="AU2" s="177"/>
      <c r="AV2" s="177"/>
      <c r="AW2" s="177"/>
      <c r="AX2" s="177"/>
      <c r="AY2" s="177"/>
      <c r="AZ2" s="177"/>
      <c r="BA2" s="177"/>
    </row>
    <row r="3" spans="1:53" ht="15" customHeight="1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77" t="s">
        <v>5</v>
      </c>
      <c r="AI3" s="177"/>
      <c r="AJ3" s="177"/>
      <c r="AK3" s="177"/>
      <c r="AL3" s="177"/>
      <c r="AM3" s="178"/>
      <c r="AN3" s="178"/>
      <c r="AO3" s="178"/>
      <c r="AP3" s="178"/>
      <c r="AQ3" s="178"/>
      <c r="AR3" s="177" t="s">
        <v>6</v>
      </c>
      <c r="AS3" s="177"/>
      <c r="AT3" s="177"/>
      <c r="AU3" s="177"/>
      <c r="AV3" s="177"/>
      <c r="AW3" s="177"/>
      <c r="AX3" s="177"/>
      <c r="AY3" s="177"/>
      <c r="AZ3" s="177"/>
      <c r="BA3" s="177"/>
    </row>
    <row r="4" spans="1:53">
      <c r="A4" s="5"/>
    </row>
    <row r="5" spans="1:53" ht="16.2">
      <c r="A5" s="6"/>
      <c r="B5" s="6"/>
      <c r="C5" s="6"/>
      <c r="D5" s="6"/>
      <c r="E5" s="6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ht="27" customHeight="1">
      <c r="A6" s="179" t="s">
        <v>19</v>
      </c>
      <c r="B6" s="179"/>
      <c r="C6" s="179"/>
      <c r="D6" s="179"/>
      <c r="E6" s="180"/>
      <c r="F6" s="181" t="s">
        <v>20</v>
      </c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</row>
    <row r="7" spans="1:53" ht="16.2">
      <c r="A7" s="7"/>
      <c r="B7" s="8"/>
      <c r="C7" s="8"/>
      <c r="D7" s="8"/>
      <c r="E7" s="8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:53" ht="16.2">
      <c r="A8" s="9" t="s">
        <v>21</v>
      </c>
      <c r="B8" s="10"/>
      <c r="C8" s="10"/>
      <c r="D8" s="10"/>
      <c r="E8" s="10"/>
      <c r="F8" s="14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:53" ht="16.2">
      <c r="A9" s="4" t="s">
        <v>22</v>
      </c>
      <c r="B9" s="10"/>
      <c r="C9" s="10"/>
      <c r="D9" s="10"/>
      <c r="E9" s="10"/>
      <c r="F9" s="14"/>
      <c r="G9" s="15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ht="16.2">
      <c r="A10" s="9" t="s">
        <v>23</v>
      </c>
      <c r="B10" s="10"/>
      <c r="C10" s="10"/>
      <c r="D10" s="10"/>
      <c r="E10" s="10"/>
      <c r="F10" s="1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ht="16.2">
      <c r="A11" s="9" t="s">
        <v>24</v>
      </c>
      <c r="B11" s="10"/>
      <c r="C11" s="10"/>
      <c r="D11" s="10"/>
      <c r="E11" s="10"/>
      <c r="F11" s="1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ht="16.2">
      <c r="A12" s="9"/>
      <c r="B12" s="10"/>
      <c r="C12" s="10"/>
      <c r="D12" s="10"/>
      <c r="E12" s="10"/>
      <c r="F12" s="16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ht="16.2">
      <c r="A13" s="9"/>
      <c r="B13" s="10"/>
      <c r="C13" s="10"/>
      <c r="D13" s="10"/>
      <c r="E13" s="10"/>
      <c r="F13" s="1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ht="16.2">
      <c r="A14" s="9"/>
      <c r="B14" s="10"/>
      <c r="C14" s="10"/>
      <c r="D14" s="10"/>
      <c r="E14" s="10"/>
      <c r="F14" s="14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ht="16.2">
      <c r="A15" s="9"/>
      <c r="B15" s="10"/>
      <c r="C15" s="10"/>
      <c r="D15" s="10"/>
      <c r="E15" s="10"/>
      <c r="F15" s="1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ht="16.2">
      <c r="A16" s="9"/>
      <c r="B16" s="10"/>
      <c r="C16" s="10"/>
      <c r="D16" s="10"/>
      <c r="E16" s="10"/>
      <c r="F16" s="1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 spans="1:53" ht="16.2">
      <c r="A17" s="9"/>
      <c r="B17" s="10"/>
      <c r="C17" s="10"/>
      <c r="D17" s="10"/>
      <c r="E17" s="10"/>
      <c r="F17" s="1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r="18" spans="1:53" ht="16.2">
      <c r="A18" s="9"/>
      <c r="B18" s="10"/>
      <c r="C18" s="10"/>
      <c r="D18" s="10"/>
      <c r="E18" s="10"/>
      <c r="F18" s="1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</row>
    <row r="19" spans="1:53" ht="16.2">
      <c r="A19" s="9"/>
      <c r="B19" s="10"/>
      <c r="C19" s="10"/>
      <c r="D19" s="10"/>
      <c r="E19" s="10"/>
      <c r="F19" s="1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</row>
    <row r="20" spans="1:53" ht="16.2">
      <c r="A20" s="9"/>
      <c r="B20" s="10"/>
      <c r="C20" s="10"/>
      <c r="D20" s="10"/>
      <c r="E20" s="10"/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</row>
    <row r="21" spans="1:53" ht="16.2">
      <c r="A21" s="9"/>
      <c r="B21" s="10"/>
      <c r="C21" s="10"/>
      <c r="D21" s="10"/>
      <c r="E21" s="10"/>
      <c r="F21" s="1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</row>
    <row r="22" spans="1:53" ht="16.2">
      <c r="A22" s="9"/>
      <c r="B22" s="10"/>
      <c r="C22" s="10"/>
      <c r="D22" s="10"/>
      <c r="E22" s="10"/>
      <c r="F22" s="1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t="16.2">
      <c r="A23" s="9"/>
      <c r="B23" s="10"/>
      <c r="C23" s="10"/>
      <c r="D23" s="10"/>
      <c r="E23" s="10"/>
      <c r="F23" s="1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1:53" ht="16.2">
      <c r="A24" s="9"/>
      <c r="B24" s="10"/>
      <c r="C24" s="10"/>
      <c r="D24" s="10"/>
      <c r="E24" s="10"/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r="25" spans="1:53" ht="16.2">
      <c r="A25" s="9"/>
      <c r="B25" s="10"/>
      <c r="C25" s="10"/>
      <c r="D25" s="10"/>
      <c r="E25" s="10"/>
      <c r="F25" s="1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</row>
    <row r="26" spans="1:53" ht="16.2">
      <c r="A26" s="9"/>
      <c r="B26" s="10"/>
      <c r="C26" s="10"/>
      <c r="D26" s="10"/>
      <c r="E26" s="10"/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</row>
    <row r="27" spans="1:53" ht="16.2">
      <c r="A27" s="9"/>
      <c r="B27" s="10"/>
      <c r="C27" s="10"/>
      <c r="D27" s="10"/>
      <c r="E27" s="10"/>
      <c r="F27" s="1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16.2">
      <c r="A28" s="9"/>
      <c r="B28" s="10"/>
      <c r="C28" s="10"/>
      <c r="D28" s="10"/>
      <c r="E28" s="10"/>
      <c r="F28" s="1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</row>
    <row r="29" spans="1:53" ht="16.2">
      <c r="A29" s="9"/>
      <c r="B29" s="10"/>
      <c r="C29" s="10"/>
      <c r="D29" s="10"/>
      <c r="E29" s="10"/>
      <c r="F29" s="1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</row>
    <row r="30" spans="1:53" ht="16.2">
      <c r="A30" s="9"/>
      <c r="B30" s="10"/>
      <c r="C30" s="10"/>
      <c r="D30" s="10"/>
      <c r="E30" s="10"/>
      <c r="F30" s="1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</row>
    <row r="31" spans="1:53" ht="16.2">
      <c r="A31" s="9"/>
      <c r="B31" s="10"/>
      <c r="C31" s="10"/>
      <c r="D31" s="10"/>
      <c r="E31" s="10"/>
      <c r="F31" s="1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</row>
    <row r="32" spans="1:53" ht="16.2">
      <c r="A32" s="9"/>
      <c r="B32" s="10"/>
      <c r="C32" s="10"/>
      <c r="D32" s="10"/>
      <c r="E32" s="10"/>
      <c r="F32" s="1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</row>
    <row r="33" spans="1:53" ht="16.2">
      <c r="A33" s="9"/>
      <c r="B33" s="10"/>
      <c r="C33" s="10"/>
      <c r="D33" s="10"/>
      <c r="E33" s="10"/>
      <c r="F33" s="1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</row>
    <row r="34" spans="1:53" ht="16.2">
      <c r="A34" s="9"/>
      <c r="B34" s="10"/>
      <c r="C34" s="10"/>
      <c r="D34" s="10"/>
      <c r="E34" s="10"/>
      <c r="F34" s="1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</row>
    <row r="35" spans="1:53" ht="16.2">
      <c r="A35" s="9"/>
      <c r="B35" s="10"/>
      <c r="C35" s="10"/>
      <c r="D35" s="10"/>
      <c r="E35" s="10"/>
      <c r="F35" s="1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r="36" spans="1:53" ht="16.2">
      <c r="A36" s="9"/>
      <c r="B36" s="10"/>
      <c r="C36" s="10"/>
      <c r="D36" s="10"/>
      <c r="E36" s="10"/>
      <c r="F36" s="1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</row>
    <row r="37" spans="1:53" ht="16.2">
      <c r="A37" s="9"/>
      <c r="B37" s="10"/>
      <c r="C37" s="10"/>
      <c r="D37" s="10"/>
      <c r="E37" s="10"/>
      <c r="F37" s="1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</row>
    <row r="38" spans="1:53" ht="16.2">
      <c r="A38" s="9"/>
      <c r="B38" s="10"/>
      <c r="C38" s="10"/>
      <c r="D38" s="10"/>
      <c r="E38" s="10"/>
      <c r="F38" s="1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</row>
    <row r="39" spans="1:53" ht="16.2">
      <c r="A39" s="9"/>
      <c r="B39" s="10"/>
      <c r="C39" s="10"/>
      <c r="D39" s="10"/>
      <c r="E39" s="1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</row>
    <row r="40" spans="1:53" ht="16.2">
      <c r="A40" s="9"/>
      <c r="B40" s="10"/>
      <c r="C40" s="10"/>
      <c r="D40" s="10"/>
      <c r="E40" s="1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</row>
    <row r="41" spans="1:53" ht="16.2">
      <c r="A41" s="9"/>
      <c r="B41" s="10"/>
      <c r="C41" s="10"/>
      <c r="D41" s="10"/>
      <c r="E41" s="1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</row>
    <row r="42" spans="1:53" ht="16.2">
      <c r="E42" s="17"/>
    </row>
    <row r="43" spans="1:53" ht="16.2">
      <c r="E43" s="17"/>
    </row>
    <row r="44" spans="1:53" ht="16.2">
      <c r="E44" s="17"/>
    </row>
    <row r="45" spans="1:53" ht="16.2">
      <c r="E45" s="17"/>
    </row>
    <row r="46" spans="1:53" ht="16.2">
      <c r="E46" s="17"/>
    </row>
    <row r="47" spans="1:53" ht="16.2">
      <c r="E47" s="17"/>
    </row>
    <row r="48" spans="1:53" ht="16.2">
      <c r="E48" s="17"/>
    </row>
    <row r="49" spans="5:5" ht="16.2">
      <c r="E49" s="17"/>
    </row>
    <row r="50" spans="5:5" ht="16.2">
      <c r="E50" s="17"/>
    </row>
    <row r="51" spans="5:5" ht="16.2">
      <c r="E51" s="17"/>
    </row>
    <row r="52" spans="5:5" ht="16.2">
      <c r="E52" s="17"/>
    </row>
    <row r="53" spans="5:5" ht="16.2">
      <c r="E53" s="17"/>
    </row>
    <row r="54" spans="5:5" ht="16.2">
      <c r="E54" s="17"/>
    </row>
    <row r="55" spans="5:5" ht="16.2">
      <c r="E55" s="17"/>
    </row>
    <row r="56" spans="5:5" ht="16.2">
      <c r="E56" s="17"/>
    </row>
    <row r="57" spans="5:5" ht="16.2">
      <c r="E57" s="17"/>
    </row>
    <row r="58" spans="5:5" ht="16.2">
      <c r="E58" s="17"/>
    </row>
    <row r="59" spans="5:5" ht="16.2">
      <c r="E59" s="17"/>
    </row>
    <row r="60" spans="5:5" ht="16.2">
      <c r="E60" s="17"/>
    </row>
    <row r="61" spans="5:5" ht="16.2">
      <c r="E61" s="17"/>
    </row>
    <row r="62" spans="5:5" ht="16.2">
      <c r="E62" s="17"/>
    </row>
    <row r="63" spans="5:5" ht="16.2">
      <c r="E63" s="17"/>
    </row>
    <row r="64" spans="5:5" ht="16.2">
      <c r="E64" s="17"/>
    </row>
    <row r="65" spans="1:5" ht="16.2">
      <c r="E65" s="17"/>
    </row>
    <row r="66" spans="1:5" ht="16.2">
      <c r="E66" s="17"/>
    </row>
    <row r="67" spans="1:5" ht="16.2">
      <c r="E67" s="17"/>
    </row>
    <row r="68" spans="1:5" ht="16.2">
      <c r="E68" s="17"/>
    </row>
    <row r="69" spans="1:5" ht="16.2">
      <c r="E69" s="17"/>
    </row>
    <row r="70" spans="1:5" ht="16.2">
      <c r="E70" s="17"/>
    </row>
    <row r="71" spans="1:5" ht="16.2">
      <c r="E71" s="17"/>
    </row>
    <row r="72" spans="1:5" ht="16.2">
      <c r="E72" s="17"/>
    </row>
    <row r="73" spans="1:5" ht="16.2">
      <c r="E73" s="17"/>
    </row>
    <row r="74" spans="1:5" ht="16.2">
      <c r="E74" s="17"/>
    </row>
    <row r="75" spans="1:5" ht="16.2">
      <c r="E75" s="17"/>
    </row>
    <row r="76" spans="1:5" ht="16.2">
      <c r="A76" s="4" t="s">
        <v>25</v>
      </c>
      <c r="E76" s="17"/>
    </row>
    <row r="77" spans="1:5" ht="16.2">
      <c r="E77" s="17"/>
    </row>
    <row r="78" spans="1:5" ht="16.2">
      <c r="E78" s="17"/>
    </row>
    <row r="79" spans="1:5" ht="16.2">
      <c r="E79" s="17"/>
    </row>
    <row r="80" spans="1:5" ht="16.2">
      <c r="E80" s="17"/>
    </row>
    <row r="81" spans="1:5" ht="16.2">
      <c r="E81" s="17"/>
    </row>
    <row r="82" spans="1:5" ht="16.2">
      <c r="E82" s="17"/>
    </row>
    <row r="83" spans="1:5" ht="16.2">
      <c r="E83" s="17"/>
    </row>
    <row r="84" spans="1:5" ht="16.2">
      <c r="E84" s="17"/>
    </row>
    <row r="85" spans="1:5" ht="16.2">
      <c r="E85" s="17"/>
    </row>
    <row r="86" spans="1:5" ht="16.2">
      <c r="A86" s="4" t="s">
        <v>26</v>
      </c>
      <c r="E86" s="17"/>
    </row>
    <row r="87" spans="1:5" ht="16.2">
      <c r="E87" s="17"/>
    </row>
    <row r="88" spans="1:5" ht="16.2">
      <c r="E88" s="17"/>
    </row>
    <row r="89" spans="1:5" ht="16.2">
      <c r="E89" s="17"/>
    </row>
    <row r="90" spans="1:5" ht="16.2">
      <c r="E90" s="17"/>
    </row>
    <row r="91" spans="1:5" ht="16.2">
      <c r="E91" s="17"/>
    </row>
    <row r="92" spans="1:5" ht="16.2">
      <c r="E92" s="17"/>
    </row>
    <row r="93" spans="1:5" ht="16.2">
      <c r="E93" s="17"/>
    </row>
    <row r="94" spans="1:5" ht="16.2">
      <c r="E94" s="17"/>
    </row>
    <row r="95" spans="1:5" ht="16.2">
      <c r="E95" s="17"/>
    </row>
    <row r="96" spans="1:5" ht="16.2">
      <c r="E96" s="17"/>
    </row>
    <row r="97" spans="5:5" ht="16.2">
      <c r="E97" s="17"/>
    </row>
    <row r="98" spans="5:5" ht="16.2">
      <c r="E98" s="17"/>
    </row>
    <row r="99" spans="5:5" ht="16.2">
      <c r="E99" s="17"/>
    </row>
    <row r="100" spans="5:5" ht="16.2">
      <c r="E100" s="17"/>
    </row>
    <row r="101" spans="5:5" ht="16.2">
      <c r="E101" s="17"/>
    </row>
    <row r="102" spans="5:5" ht="16.2">
      <c r="E102" s="17"/>
    </row>
    <row r="103" spans="5:5" ht="16.2">
      <c r="E103" s="17"/>
    </row>
    <row r="104" spans="5:5" ht="16.2">
      <c r="E104" s="17"/>
    </row>
    <row r="105" spans="5:5" ht="16.2">
      <c r="E105" s="17"/>
    </row>
    <row r="106" spans="5:5" ht="16.2">
      <c r="E106" s="17"/>
    </row>
    <row r="107" spans="5:5" ht="16.2">
      <c r="E107" s="17"/>
    </row>
    <row r="108" spans="5:5" ht="16.2">
      <c r="E108" s="17"/>
    </row>
    <row r="109" spans="5:5" ht="16.2">
      <c r="E109" s="17"/>
    </row>
    <row r="110" spans="5:5" ht="16.2">
      <c r="E110" s="17"/>
    </row>
    <row r="111" spans="5:5" ht="16.2">
      <c r="E111" s="17"/>
    </row>
    <row r="112" spans="5:5" ht="16.2">
      <c r="E112" s="17"/>
    </row>
    <row r="113" spans="5:5" ht="16.2">
      <c r="E113" s="17"/>
    </row>
    <row r="114" spans="5:5" ht="16.2">
      <c r="E114" s="17"/>
    </row>
    <row r="115" spans="5:5" ht="16.2">
      <c r="E115" s="17"/>
    </row>
    <row r="116" spans="5:5" ht="16.2">
      <c r="E116" s="17"/>
    </row>
    <row r="117" spans="5:5" ht="16.2">
      <c r="E117" s="17"/>
    </row>
    <row r="118" spans="5:5" ht="16.2">
      <c r="E118" s="17"/>
    </row>
    <row r="182" spans="7:7">
      <c r="G182" s="18"/>
    </row>
    <row r="245" spans="8:8">
      <c r="H245" s="18"/>
    </row>
    <row r="348" spans="8:8" ht="18">
      <c r="H348" s="84" t="s">
        <v>64</v>
      </c>
    </row>
    <row r="381" spans="8:8">
      <c r="H381" s="84" t="s">
        <v>65</v>
      </c>
    </row>
  </sheetData>
  <mergeCells count="13">
    <mergeCell ref="AH3:AL3"/>
    <mergeCell ref="AM3:AQ3"/>
    <mergeCell ref="AR3:AV3"/>
    <mergeCell ref="AW3:BA3"/>
    <mergeCell ref="A6:E6"/>
    <mergeCell ref="F6:BA6"/>
    <mergeCell ref="A1:O3"/>
    <mergeCell ref="P1:AG3"/>
    <mergeCell ref="AH1:BA1"/>
    <mergeCell ref="AH2:AL2"/>
    <mergeCell ref="AM2:AQ2"/>
    <mergeCell ref="AR2:AV2"/>
    <mergeCell ref="AW2:BA2"/>
  </mergeCells>
  <phoneticPr fontId="23" type="noConversion"/>
  <pageMargins left="0.7" right="0.7" top="0.75" bottom="0.75" header="0.3" footer="0.3"/>
  <pageSetup paperSize="9" scale="6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9"/>
  <sheetViews>
    <sheetView zoomScale="134" zoomScaleNormal="134" workbookViewId="0">
      <selection activeCell="B4" sqref="B4"/>
    </sheetView>
  </sheetViews>
  <sheetFormatPr defaultColWidth="9.21875" defaultRowHeight="14.4"/>
  <cols>
    <col min="2" max="9" width="14.77734375" customWidth="1"/>
  </cols>
  <sheetData>
    <row r="2" spans="2:9">
      <c r="B2" t="s">
        <v>27</v>
      </c>
    </row>
    <row r="3" spans="2:9"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</row>
    <row r="4" spans="2:9">
      <c r="B4" s="2">
        <v>4</v>
      </c>
      <c r="C4" s="2" t="s">
        <v>36</v>
      </c>
      <c r="D4" s="2" t="s">
        <v>37</v>
      </c>
      <c r="E4" s="2" t="s">
        <v>38</v>
      </c>
      <c r="F4" s="3">
        <v>45867.423634259299</v>
      </c>
      <c r="G4" s="3">
        <v>43586.5</v>
      </c>
      <c r="H4" s="3">
        <v>45867.423634259299</v>
      </c>
      <c r="I4" s="2">
        <v>1</v>
      </c>
    </row>
    <row r="5" spans="2:9">
      <c r="B5" s="2">
        <v>6</v>
      </c>
      <c r="C5" s="2" t="s">
        <v>39</v>
      </c>
      <c r="D5" s="2"/>
      <c r="E5" s="2"/>
      <c r="F5" s="3">
        <v>45867.6577777778</v>
      </c>
      <c r="G5" s="3">
        <v>43586.5</v>
      </c>
      <c r="H5" s="3">
        <v>45867.6577777778</v>
      </c>
      <c r="I5" s="2">
        <v>1</v>
      </c>
    </row>
    <row r="6" spans="2:9">
      <c r="B6" s="2">
        <v>7</v>
      </c>
      <c r="C6" s="2" t="s">
        <v>40</v>
      </c>
      <c r="D6" s="2"/>
      <c r="E6" s="2"/>
      <c r="F6" s="3">
        <v>45866.474606481497</v>
      </c>
      <c r="G6" s="3">
        <v>45866.474606481497</v>
      </c>
      <c r="H6" s="2"/>
      <c r="I6" s="2">
        <v>0</v>
      </c>
    </row>
    <row r="7" spans="2:9">
      <c r="B7" s="2">
        <v>8</v>
      </c>
      <c r="C7" s="2" t="s">
        <v>41</v>
      </c>
      <c r="D7" s="2" t="s">
        <v>42</v>
      </c>
      <c r="E7" s="2" t="s">
        <v>38</v>
      </c>
      <c r="F7" s="3">
        <v>45866.474606481497</v>
      </c>
      <c r="G7" s="3">
        <v>43586.5</v>
      </c>
      <c r="H7" s="2"/>
      <c r="I7" s="2">
        <v>0</v>
      </c>
    </row>
    <row r="8" spans="2:9">
      <c r="B8" s="2">
        <v>9</v>
      </c>
      <c r="C8" s="2" t="s">
        <v>43</v>
      </c>
      <c r="D8" s="2" t="s">
        <v>44</v>
      </c>
      <c r="E8" s="2" t="s">
        <v>38</v>
      </c>
      <c r="F8" s="3">
        <v>43591.5</v>
      </c>
      <c r="G8" s="3">
        <v>43586.5</v>
      </c>
      <c r="H8" s="2"/>
      <c r="I8" s="2">
        <v>0</v>
      </c>
    </row>
    <row r="9" spans="2:9">
      <c r="B9" s="2">
        <v>10</v>
      </c>
      <c r="C9" s="2" t="s">
        <v>39</v>
      </c>
      <c r="D9" s="2" t="s">
        <v>42</v>
      </c>
      <c r="E9" s="2"/>
      <c r="F9" s="3">
        <v>45866.474606481497</v>
      </c>
      <c r="G9" s="3">
        <v>45866.474606481497</v>
      </c>
      <c r="H9" s="2"/>
      <c r="I9" s="2">
        <v>0</v>
      </c>
    </row>
  </sheetData>
  <phoneticPr fontId="2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表紙</vt:lpstr>
      <vt:lpstr>単体テスト仕様書</vt:lpstr>
      <vt:lpstr>エビデンス</vt:lpstr>
      <vt:lpstr>DB</vt:lpstr>
      <vt:lpstr>エビデンス!Print_Area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忠海 付</cp:lastModifiedBy>
  <dcterms:created xsi:type="dcterms:W3CDTF">2006-09-17T03:00:00Z</dcterms:created>
  <dcterms:modified xsi:type="dcterms:W3CDTF">2025-11-11T12:13:12Z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1EC17D5D60F50228027E52677C747B54_42</vt:lpwstr>
  </property>
  <property fmtid="{D5CDD505-2E9C-101B-9397-08002B2CF9AE}" pid="3" name="KSOProductBuildVer">
    <vt:lpwstr>2052-7.2.2.8955</vt:lpwstr>
  </property>
</Properties>
</file>